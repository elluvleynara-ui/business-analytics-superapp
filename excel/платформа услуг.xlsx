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услуг" sheetId="1" r:id="rId5"/>
    <sheet state="visible" name="new Базовые данные " sheetId="2" r:id="rId6"/>
    <sheet state="visible" name="база специалистов" sheetId="3" r:id="rId7"/>
    <sheet state="visible" name="NLP_услуги" sheetId="4" r:id="rId8"/>
    <sheet state="visible" name="NLP_специалисты" sheetId="5" r:id="rId9"/>
  </sheets>
  <definedNames/>
  <calcPr/>
</workbook>
</file>

<file path=xl/sharedStrings.xml><?xml version="1.0" encoding="utf-8"?>
<sst xmlns="http://schemas.openxmlformats.org/spreadsheetml/2006/main" count="12700" uniqueCount="4240">
  <si>
    <t>ID</t>
  </si>
  <si>
    <t>Название услуги</t>
  </si>
  <si>
    <t>Описание</t>
  </si>
  <si>
    <t>Категория</t>
  </si>
  <si>
    <t>Сфера деятельности</t>
  </si>
  <si>
    <t>Тип занятости</t>
  </si>
  <si>
    <t>Формат работы</t>
  </si>
  <si>
    <t>График</t>
  </si>
  <si>
    <t>Слоты времени</t>
  </si>
  <si>
    <t>Длительность</t>
  </si>
  <si>
    <t>Необходимый инвентарь</t>
  </si>
  <si>
    <t>Вид оплаты</t>
  </si>
  <si>
    <t>Средний доход</t>
  </si>
  <si>
    <t>Возрастной ценз</t>
  </si>
  <si>
    <t>Уровень навыков</t>
  </si>
  <si>
    <t>Образование</t>
  </si>
  <si>
    <t>Семейное положение</t>
  </si>
  <si>
    <t>Планируемые события</t>
  </si>
  <si>
    <t>Геолокация</t>
  </si>
  <si>
    <t>Статус в КЗ</t>
  </si>
  <si>
    <t>Порог входа</t>
  </si>
  <si>
    <t>Особые требования</t>
  </si>
  <si>
    <t>Физ. активность</t>
  </si>
  <si>
    <t>Тяжелый физтруд</t>
  </si>
  <si>
    <t>Карьерный рост</t>
  </si>
  <si>
    <t>Требуемый уровень языков (KK/RU)</t>
  </si>
  <si>
    <t>Рекомендация по обучению</t>
  </si>
  <si>
    <t>Закрытие болей (Trigger Match)</t>
  </si>
  <si>
    <t>Frontend-разработка</t>
  </si>
  <si>
    <t>Frontend-разработка: выполнение задачи под бизнес-цель (сайт/автоматизация/поддержка). Итог — работающий результат.</t>
  </si>
  <si>
    <t>IT и Диджитал</t>
  </si>
  <si>
    <t>IT</t>
  </si>
  <si>
    <t>частичная</t>
  </si>
  <si>
    <t>смешанный</t>
  </si>
  <si>
    <t>гибкий</t>
  </si>
  <si>
    <t>выходные</t>
  </si>
  <si>
    <t>постоянно</t>
  </si>
  <si>
    <t>ноутбук, IDE, Git, доступы/хостинг</t>
  </si>
  <si>
    <t>за проект</t>
  </si>
  <si>
    <t>16-60</t>
  </si>
  <si>
    <t>высокий</t>
  </si>
  <si>
    <t>портфолио</t>
  </si>
  <si>
    <t>любой</t>
  </si>
  <si>
    <t>Запуск сайта/сервиса</t>
  </si>
  <si>
    <t>Алматы</t>
  </si>
  <si>
    <t>востребовано</t>
  </si>
  <si>
    <t>портфолио/кейсы, соблюдение сроков, коммуникация</t>
  </si>
  <si>
    <t>низкая</t>
  </si>
  <si>
    <t>нет</t>
  </si>
  <si>
    <t>да (открыть свой бизнес)</t>
  </si>
  <si>
    <t>KK:A2, RU:B2, EN:B1</t>
  </si>
  <si>
    <t>ТЕОРИЯ: Roadmap.sh Frontend + freeCodeCamp → ПРАКТИКА: 3 проекта (лендинг, CRUD+API, pet-project) → ПОРТФОЛИО: GitHub+деплой (Vercel) → ЗАКАЗ: 10 откликов/нед</t>
  </si>
  <si>
    <t>Экономия времени</t>
  </si>
  <si>
    <t>Backend-разработка</t>
  </si>
  <si>
    <t>Backend-разработка: выполнение задачи под бизнес-цель (сайт/автоматизация/поддержка). Итог — работающий результат.</t>
  </si>
  <si>
    <t>проектная</t>
  </si>
  <si>
    <t>Утро (08:00-12:00)</t>
  </si>
  <si>
    <t>Караганда</t>
  </si>
  <si>
    <t>средний</t>
  </si>
  <si>
    <t>да (тимлид/руководитель)</t>
  </si>
  <si>
    <t>KK:B1, RU:B2, EN:B2</t>
  </si>
  <si>
    <t>ТЕОРИЯ: Roadmap.sh + Stepik/Coursera + freeCodeCamp (запрос: "Roadmap Frontend 2024") → ПРАКТИКА: 3 проекта (лендинг/CRUD/API) → ПОРТФОЛИО: GitHub+README+деплой → ЗАКАЗ: 10 откликов/нед + 1 тестовое</t>
  </si>
  <si>
    <t>Нужен результат</t>
  </si>
  <si>
    <t>Mobile-разработка</t>
  </si>
  <si>
    <t>Mobile-разработка: выполнение задачи под бизнес-цель (сайт/автоматизация/поддержка). Итог — работающий результат.</t>
  </si>
  <si>
    <t>будни</t>
  </si>
  <si>
    <t>Ночь (22:00-03:00)</t>
  </si>
  <si>
    <t>проект</t>
  </si>
  <si>
    <t>абонемент</t>
  </si>
  <si>
    <t>курсы</t>
  </si>
  <si>
    <t>Автоматизация бизнеса</t>
  </si>
  <si>
    <t>Алматы/область</t>
  </si>
  <si>
    <t>QA тестирование</t>
  </si>
  <si>
    <t>QA тестирование: выполнение задачи под бизнес-цель (сайт/автоматизация/поддержка). Итог — работающий результат.</t>
  </si>
  <si>
    <t>у специалиста</t>
  </si>
  <si>
    <t>Вечер (18:00-22:00)</t>
  </si>
  <si>
    <t>Техподдержка</t>
  </si>
  <si>
    <t>Усть-Каменогорск</t>
  </si>
  <si>
    <t>стабильно</t>
  </si>
  <si>
    <t>Страх ошибок</t>
  </si>
  <si>
    <t>DevOps/Cloud</t>
  </si>
  <si>
    <t>DevOps/Cloud: выполнение задачи под бизнес-цель (сайт/автоматизация/поддержка). Итог — работающий результат.</t>
  </si>
  <si>
    <t>онлайн</t>
  </si>
  <si>
    <t>любое</t>
  </si>
  <si>
    <t>высшее</t>
  </si>
  <si>
    <t>Онлайн</t>
  </si>
  <si>
    <t>да (старший специалист)</t>
  </si>
  <si>
    <t>KK:B1, RU:C1, EN:B2</t>
  </si>
  <si>
    <t>ТЕОРИЯ: Linux+Docker+CI/CD → ПРАКТИКА: поднять проект в облаке (CI/CD) → ПОРТФОЛИО: repo+инструкция деплоя → ЗАКАЗ: тестовое по DevOps</t>
  </si>
  <si>
    <t>Системный администратор</t>
  </si>
  <si>
    <t>Системный администратор: выполнение задачи под бизнес-цель (сайт/автоматизация/поддержка). Итог — работающий результат.</t>
  </si>
  <si>
    <t>базовый набор</t>
  </si>
  <si>
    <t>Алматы/Онлайн</t>
  </si>
  <si>
    <t>Сетевой инженер</t>
  </si>
  <si>
    <t>Сетевой инженер: выполнение задачи под бизнес-цель (сайт/автоматизация/поддержка). Итог — работающий результат.</t>
  </si>
  <si>
    <t>KK:B1, RU:B2, EN:A2</t>
  </si>
  <si>
    <t>Кибербезопасность (аудит)</t>
  </si>
  <si>
    <t>Кибербезопасность (аудит): выполнение задачи под бизнес-цель (сайт/автоматизация/поддержка). Итог — работающий результат.</t>
  </si>
  <si>
    <t>полная</t>
  </si>
  <si>
    <t>Тараз</t>
  </si>
  <si>
    <t>BI аналитик (Power BI)</t>
  </si>
  <si>
    <t>BI аналитик (Power BI): выполнение задачи под бизнес-цель (сайт/автоматизация/поддержка). Итог — работающий результат.</t>
  </si>
  <si>
    <t>Чат-боты (Telegram/WhatsApp)</t>
  </si>
  <si>
    <t>Чат-боты (Telegram/WhatsApp): выполнение задачи под бизнес-цель (сайт/автоматизация/поддержка). Итог — работающий результат.</t>
  </si>
  <si>
    <t>День (12:00-18:00)</t>
  </si>
  <si>
    <t>эксперт</t>
  </si>
  <si>
    <t>No-code (Tilda/Webflow)</t>
  </si>
  <si>
    <t>No-code (Tilda/Webflow): выполнение задачи под бизнес-цель (сайт/автоматизация/поддержка). Итог — работающий результат.</t>
  </si>
  <si>
    <t>Шымкент</t>
  </si>
  <si>
    <t>Внедрение CRM (Bitrix24/amo)</t>
  </si>
  <si>
    <t>Внедрение CRM (Bitrix24/amo): выполнение задачи под бизнес-цель (сайт/автоматизация/поддержка). Итог — работающий результат.</t>
  </si>
  <si>
    <t>Техподдержка (Helpdesk)</t>
  </si>
  <si>
    <t>Техподдержка (Helpdesk): выполнение задачи под бизнес-цель (сайт/автоматизация/поддержка). Итог — работающий результат.</t>
  </si>
  <si>
    <t>Настройка 1C</t>
  </si>
  <si>
    <t>Настройка 1C: выполнение задачи под бизнес-цель (сайт/автоматизация/поддержка). Итог — работающий результат.</t>
  </si>
  <si>
    <t>по записи</t>
  </si>
  <si>
    <t>Астана/Онлайн</t>
  </si>
  <si>
    <t>SMM-ведение</t>
  </si>
  <si>
    <t>SMM-ведение: выполнение задач для роста продаж/контента. Отчётность и KPI — по договоренности.</t>
  </si>
  <si>
    <t>Маркетинг/Контент</t>
  </si>
  <si>
    <t>Маркетинг</t>
  </si>
  <si>
    <t>ноутбук, интернет, рабочие аккаунты/сервисы</t>
  </si>
  <si>
    <t>16-55</t>
  </si>
  <si>
    <t>Открытие/Запуск</t>
  </si>
  <si>
    <t>тренд</t>
  </si>
  <si>
    <t>низкий</t>
  </si>
  <si>
    <t>KK:A2, RU:C1, EN:B1</t>
  </si>
  <si>
    <t>ТЕОРИЯ: Meta Blueprint + YouTube (запрос: "Тренды Reels 2024", "Основы композиции") → ПРАКТИКА: 10 креативов+5 Reels → ПОРТФОЛИО: кейсы до/после+цифры → ЗАКАЗ: оффер в шапке+DM/отклики</t>
  </si>
  <si>
    <t>Таргетолог Meta</t>
  </si>
  <si>
    <t>Таргетолог Meta: выполнение задач для роста продаж/контента. Отчётность и KPI — по договоренности.</t>
  </si>
  <si>
    <t>Контент-план</t>
  </si>
  <si>
    <t>ответственность за бюджеты, отчетность, кейсы</t>
  </si>
  <si>
    <t>ТЕОРИЯ: Meta Blueprint → ПРАКТИКА: 3 тест-кампании (лиды/трафик/конверсии) → ПОРТФОЛИО: кейсы с цифрами (CPA/ROAS) → ЗАКАЗ: оффер "1 неделя теста"</t>
  </si>
  <si>
    <t>Нет времени</t>
  </si>
  <si>
    <t>Контекстолог Google Ads</t>
  </si>
  <si>
    <t>Контекстолог Google Ads: выполнение задач для роста продаж/контента. Отчётность и KPI — по договоренности.</t>
  </si>
  <si>
    <t>Продажи/лидоген</t>
  </si>
  <si>
    <t>KK:B1, RU:C1, EN:B1</t>
  </si>
  <si>
    <t>Копирайтер</t>
  </si>
  <si>
    <t>Копирайтер: выполнение задач для роста продаж/контента. Отчётность и KPI — по договоренности.</t>
  </si>
  <si>
    <t>Сценарист Reels</t>
  </si>
  <si>
    <t>Сценарист Reels: выполнение задач для роста продаж/контента. Отчётность и KPI — по договоренности.</t>
  </si>
  <si>
    <t>процент</t>
  </si>
  <si>
    <t>Астана/область</t>
  </si>
  <si>
    <t>Экономия</t>
  </si>
  <si>
    <t>Графдизайнер</t>
  </si>
  <si>
    <t>Графдизайнер: выполнение задач для роста продаж/контента. Отчётность и KPI — по договоренности.</t>
  </si>
  <si>
    <t>Астана</t>
  </si>
  <si>
    <t>Брендинг/айдентика</t>
  </si>
  <si>
    <t>Брендинг/айдентика: выполнение задач для роста продаж/контента. Отчётность и KPI — по договоренности.</t>
  </si>
  <si>
    <t>Видеомонтажер Reels</t>
  </si>
  <si>
    <t>Видеомонтажер Reels: выполнение задач для роста продаж/контента. Отчётность и KPI — по договоренности.</t>
  </si>
  <si>
    <t>Мобилограф</t>
  </si>
  <si>
    <t>Мобилограф: выполнение задач для роста продаж/контента. Отчётность и KPI — по договоренности.</t>
  </si>
  <si>
    <t>камера/телефон, стабилизатор, свет, петличка</t>
  </si>
  <si>
    <t>Фотограф (контент)</t>
  </si>
  <si>
    <t>Фотограф (контент): выполнение задач для роста продаж/контента. Отчётность и KPI — по договоренности.</t>
  </si>
  <si>
    <t>камера, объективы, свет, ноутбук</t>
  </si>
  <si>
    <t>Продюсер блогов</t>
  </si>
  <si>
    <t>Продюсер блогов: выполнение задач для роста продаж/контента. Отчётность и KPI — по договоренности.</t>
  </si>
  <si>
    <t>SEO-специалист</t>
  </si>
  <si>
    <t>SEO-специалист: выполнение задач для роста продаж/контента. Отчётность и KPI — по договоренности.</t>
  </si>
  <si>
    <t>Тамада</t>
  </si>
  <si>
    <t>Тамада: подготовка и работа на мероприятии. Сценарий/тайминг/оборудование — по запросу.</t>
  </si>
  <si>
    <t>Тои и Мероприятия</t>
  </si>
  <si>
    <t>Ивент</t>
  </si>
  <si>
    <t>выездная</t>
  </si>
  <si>
    <t>разово</t>
  </si>
  <si>
    <t>колледж</t>
  </si>
  <si>
    <t>День рождения</t>
  </si>
  <si>
    <t>Актобе</t>
  </si>
  <si>
    <t>ответственность, пунктуальность</t>
  </si>
  <si>
    <t>ограничено</t>
  </si>
  <si>
    <t>KK:C1, RU:B2, EN:A2</t>
  </si>
  <si>
    <t>ТЕОРИЯ: ораторство+психология толпы → ПРАКТИКА: 3 сценария (той/др/корп) + репетиции → ПОРТФОЛИО: 5 видео-фрагментов → ЗАКАЗ: партнерство с банкетными залами</t>
  </si>
  <si>
    <t>DJ</t>
  </si>
  <si>
    <t>DJ: подготовка и работа на мероприятии. Сценарий/тайминг/оборудование — по запросу.</t>
  </si>
  <si>
    <t>Корпоратив</t>
  </si>
  <si>
    <t>KK:B1, RU:B2, EN:A1</t>
  </si>
  <si>
    <t>ТЕОРИЯ: ораторство + YouTube (запрос: "Как написать сценарий мероприятия", "Ошибки ведущего") → ПРАКТИКА: 3 сценария+репетиции → ПОРТФОЛИО: 5 видео-фрагментов → ЗАКАЗ: партнерство с ресторанами/декором</t>
  </si>
  <si>
    <t>Доверие/репутация</t>
  </si>
  <si>
    <t>Фотограф на мероприятие</t>
  </si>
  <si>
    <t>Фотограф на мероприятие: подготовка и работа на мероприятии. Сценарий/тайминг/оборудование — по запросу.</t>
  </si>
  <si>
    <t>Свадьба/Той</t>
  </si>
  <si>
    <t>Видеограф на мероприятие</t>
  </si>
  <si>
    <t>Видеограф на мероприятие: подготовка и работа на мероприятии. Сценарий/тайминг/оборудование — по запросу.</t>
  </si>
  <si>
    <t>KK:B2, RU:B2, EN:A1</t>
  </si>
  <si>
    <t>Декоратор</t>
  </si>
  <si>
    <t>Декоратор: подготовка и работа на мероприятии. Сценарий/тайминг/оборудование — по запросу.</t>
  </si>
  <si>
    <t>не требуется</t>
  </si>
  <si>
    <t>Флорист</t>
  </si>
  <si>
    <t>Флорист: подготовка и работа на мероприятии. Сценарий/тайминг/оборудование — по запросу.</t>
  </si>
  <si>
    <t>KK:B2, RU:B1, EN:A1</t>
  </si>
  <si>
    <t>Фото-зона (аренда)</t>
  </si>
  <si>
    <t>Фото-зона (аренда): подготовка и работа на мероприятии. Сценарий/тайминг/оборудование — по запросу.</t>
  </si>
  <si>
    <t>Свет/звук (техник)</t>
  </si>
  <si>
    <t>Свет/звук (техник): подготовка и работа на мероприятии. Сценарий/тайминг/оборудование — по запросу.</t>
  </si>
  <si>
    <t>Кейтеринг</t>
  </si>
  <si>
    <t>Кейтеринг: подготовка и работа на мероприятии. Сценарий/тайминг/оборудование — по запросу.</t>
  </si>
  <si>
    <t>Кондитер (торты)</t>
  </si>
  <si>
    <t>Кондитер (торты): подготовка и работа на мероприятии. Сценарий/тайминг/оборудование — по запросу.</t>
  </si>
  <si>
    <t>Аниматор (дети)</t>
  </si>
  <si>
    <t>Аниматор (дети): подготовка и работа на мероприятии. Сценарий/тайминг/оборудование — по запросу.</t>
  </si>
  <si>
    <t>Организатор мероприятия</t>
  </si>
  <si>
    <t>Организатор мероприятия: подготовка и работа на мероприятии. Сценарий/тайминг/оборудование — по запросу.</t>
  </si>
  <si>
    <t>Парикмахер</t>
  </si>
  <si>
    <t>Парикмахер: оказание услуги по запросу клиента. Сроки и объем — по согласованию.</t>
  </si>
  <si>
    <t>Красота и Бьюти</t>
  </si>
  <si>
    <t>Бьюти</t>
  </si>
  <si>
    <t>курс</t>
  </si>
  <si>
    <t>инструменты, стерилизация, расходники</t>
  </si>
  <si>
    <t>почасовая</t>
  </si>
  <si>
    <t>Регулярный уход</t>
  </si>
  <si>
    <t>стерильность, сервис, фото работ</t>
  </si>
  <si>
    <t>средняя</t>
  </si>
  <si>
    <t>KK:B1, RU:B1, EN:A1</t>
  </si>
  <si>
    <t>ТЕОРИЯ: стерилизация/СанПиН + базовая анатомия (запрос: "Стерилизация инструментов СанПиН") → ПРАКТИКА: 5–10 моделей → ПОРТФОЛИО: фото до/после+прайс → ЗАКАЗ: запись через Instagram/WhatsApp</t>
  </si>
  <si>
    <t>Барбер</t>
  </si>
  <si>
    <t>Барбер: оказание услуги по запросу клиента. Сроки и объем — по согласованию.</t>
  </si>
  <si>
    <t>краткосрочно (&lt;8ч)</t>
  </si>
  <si>
    <t>KK:A2, RU:B2, EN:A1</t>
  </si>
  <si>
    <t>Колорист</t>
  </si>
  <si>
    <t>Колорист: оказание услуги по запросу клиента. Сроки и объем — по согласованию.</t>
  </si>
  <si>
    <t>Съемка/мероприятие</t>
  </si>
  <si>
    <t>Доверие/стерильность</t>
  </si>
  <si>
    <t>Маникюр</t>
  </si>
  <si>
    <t>Маникюр: оказание услуги по запросу клиента. Сроки и объем — по согласованию.</t>
  </si>
  <si>
    <t>сдельная</t>
  </si>
  <si>
    <t>Педикюр</t>
  </si>
  <si>
    <t>Педикюр: оказание услуги по запросу клиента. Сроки и объем — по согласованию.</t>
  </si>
  <si>
    <t>Визажист</t>
  </si>
  <si>
    <t>Визажист: оказание услуги по запросу клиента. Сроки и объем — по согласованию.</t>
  </si>
  <si>
    <t>Павлодар</t>
  </si>
  <si>
    <t>Бровист</t>
  </si>
  <si>
    <t>Бровист: оказание услуги по запросу клиента. Сроки и объем — по согласованию.</t>
  </si>
  <si>
    <t>Лэшмейкер</t>
  </si>
  <si>
    <t>Лэшмейкер: оказание услуги по запросу клиента. Сроки и объем — по согласованию.</t>
  </si>
  <si>
    <t>Эпиляция/шугаринг</t>
  </si>
  <si>
    <t>Эпиляция/шугаринг: оказание услуги по запросу клиента. Сроки и объем — по согласованию.</t>
  </si>
  <si>
    <t>Косметолог-эстетист</t>
  </si>
  <si>
    <t>Косметолог-эстетист: оказание услуги по запросу клиента. Сроки и объем — по согласованию.</t>
  </si>
  <si>
    <t>Перманентный макияж</t>
  </si>
  <si>
    <t>Перманентный макияж: оказание услуги по запросу клиента. Сроки и объем — по согласованию.</t>
  </si>
  <si>
    <t>Стилист по волосам</t>
  </si>
  <si>
    <t>Стилист по волосам: оказание услуги по запросу клиента. Сроки и объем — по согласованию.</t>
  </si>
  <si>
    <t>Массаж классический</t>
  </si>
  <si>
    <t>Массаж классический: оказание услуги по запросу клиента. Сроки и объем — по согласованию.</t>
  </si>
  <si>
    <t>Здоровье/Уход</t>
  </si>
  <si>
    <t>Здоровье</t>
  </si>
  <si>
    <t>кушетка/масло/аптечка (по услуге)</t>
  </si>
  <si>
    <t>Стресс/эмоции</t>
  </si>
  <si>
    <t>рекомендации, аккуратность, доверие</t>
  </si>
  <si>
    <t>ТЕОРИЯ: анатомия+этика общения + курс первой помощи (Red Crescent) → ПРАКТИКА: отработка техник/протоколов → ПОРТФОЛИО: сертификаты+отзывы → ЗАКАЗ: анкета услуг+рекомендации</t>
  </si>
  <si>
    <t>Стресс/комфорт</t>
  </si>
  <si>
    <t>Массаж спортивный</t>
  </si>
  <si>
    <t>Массаж спортивный: оказание услуги по запросу клиента. Сроки и объем — по согласованию.</t>
  </si>
  <si>
    <t>Доверие/безопасность</t>
  </si>
  <si>
    <t>ЛФК/реабилитация</t>
  </si>
  <si>
    <t>ЛФК/реабилитация: оказание услуги по запросу клиента. Сроки и объем — по согласованию.</t>
  </si>
  <si>
    <t>Психолог-консультант</t>
  </si>
  <si>
    <t>Психолог-консультант: оказание услуги по запросу клиента. Сроки и объем — по согласованию.</t>
  </si>
  <si>
    <t>Восстановление</t>
  </si>
  <si>
    <t>Семейный психолог</t>
  </si>
  <si>
    <t>Семейный психолог: оказание услуги по запросу клиента. Сроки и объем — по согласованию.</t>
  </si>
  <si>
    <t>Сиделка (дневная)</t>
  </si>
  <si>
    <t>Сиделка (дневная): оказание услуги по запросу клиента. Сроки и объем — по согласованию.</t>
  </si>
  <si>
    <t>18-60</t>
  </si>
  <si>
    <t>Кызылорда</t>
  </si>
  <si>
    <t>рекомендации, опыт ухода, ответственность</t>
  </si>
  <si>
    <t>Сиделка (ночная)</t>
  </si>
  <si>
    <t>Сиделка (ночная): оказание услуги по запросу клиента. Сроки и объем — по согласованию.</t>
  </si>
  <si>
    <t>рекомендации, опыт ухода, стрессоустойчивость</t>
  </si>
  <si>
    <t>Уход за пожилыми</t>
  </si>
  <si>
    <t>Уход за пожилыми: оказание услуги по запросу клиента. Сроки и объем — по согласованию.</t>
  </si>
  <si>
    <t>Онлайн-консультация психолога</t>
  </si>
  <si>
    <t>Онлайн-консультация психолога: оказание услуги по запросу клиента. Сроки и объем — по согласованию.</t>
  </si>
  <si>
    <t>Клининг квартиры</t>
  </si>
  <si>
    <t>Клининг квартиры: уборка по чек-листу, внимание к деталям. Возможна уборка после ремонта/переезда.</t>
  </si>
  <si>
    <t>Дом/Клининг</t>
  </si>
  <si>
    <t>Быт</t>
  </si>
  <si>
    <t>химия, инвентарь, перчатки, салфетки</t>
  </si>
  <si>
    <t>за смену</t>
  </si>
  <si>
    <t>начальный</t>
  </si>
  <si>
    <t>Переезд</t>
  </si>
  <si>
    <t>пунктуальность, ответственность</t>
  </si>
  <si>
    <t>высокая</t>
  </si>
  <si>
    <t>ТЕОРИЯ: химия поверхностей (запрос: "Профессиональный клининг обучение", "Пятна как убрать") → ПРАКТИКА: чек-листы+тайминг уборки → ПОРТФОЛИО: фото до/после → ЗАКАЗ: 3 тарифа+гарантия качества</t>
  </si>
  <si>
    <t>Срочно/быстро</t>
  </si>
  <si>
    <t>Генеральная уборка</t>
  </si>
  <si>
    <t>Генеральная уборка: уборка по чек-листу, внимание к деталям. Возможна уборка после ремонта/переезда.</t>
  </si>
  <si>
    <t>Регулярная уборка</t>
  </si>
  <si>
    <t>да (собрать бригаду)</t>
  </si>
  <si>
    <t>Уборка после ремонта</t>
  </si>
  <si>
    <t>Уборка после ремонта: уборка по чек-листу, внимание к деталям. Возможна уборка после ремонта/переезда.</t>
  </si>
  <si>
    <t>сменная</t>
  </si>
  <si>
    <t>Мойка окон</t>
  </si>
  <si>
    <t>Мойка окон: уборка по чек-листу, внимание к деталям. Возможна уборка после ремонта/переезда.</t>
  </si>
  <si>
    <t>После ремонта</t>
  </si>
  <si>
    <t>Химчистка мебели</t>
  </si>
  <si>
    <t>Химчистка мебели: уборка по чек-листу, внимание к деталям. Возможна уборка после ремонта/переезда.</t>
  </si>
  <si>
    <t>Химчистка ковров</t>
  </si>
  <si>
    <t>Химчистка ковров: уборка по чек-листу, внимание к деталям. Возможна уборка после ремонта/переезда.</t>
  </si>
  <si>
    <t>Домработница (регулярно)</t>
  </si>
  <si>
    <t>Домработница (регулярно): уборка по чек-листу, внимание к деталям. Возможна уборка после ремонта/переезда.</t>
  </si>
  <si>
    <t>Глажка/стирка</t>
  </si>
  <si>
    <t>Глажка/стирка: уборка по чек-листу, внимание к деталям. Возможна уборка после ремонта/переезда.</t>
  </si>
  <si>
    <t>Организация пространства</t>
  </si>
  <si>
    <t>Организация пространства: уборка по чек-листу, внимание к деталям. Возможна уборка после ремонта/переезда.</t>
  </si>
  <si>
    <t>Вывоз хлама/мусора</t>
  </si>
  <si>
    <t>Вывоз хлама/мусора: уборка по чек-листу, внимание к деталям. Возможна уборка после ремонта/переезда.</t>
  </si>
  <si>
    <t>Уборка офисов</t>
  </si>
  <si>
    <t>Уборка офисов: уборка по чек-листу, внимание к деталям. Возможна уборка после ремонта/переезда.</t>
  </si>
  <si>
    <t>Электрик</t>
  </si>
  <si>
    <t>Электрик: диагностика → согласование стоимости → выполнение работ → рекомендации по эксплуатации.</t>
  </si>
  <si>
    <t>Ремонт и Строительство</t>
  </si>
  <si>
    <t>Ремонт</t>
  </si>
  <si>
    <t>на объекте</t>
  </si>
  <si>
    <t>инструменты, перфоратор, уровень, расходники</t>
  </si>
  <si>
    <t>оклад+бонус</t>
  </si>
  <si>
    <t>Срочная поломка</t>
  </si>
  <si>
    <t>техника безопасности, опыт, аккуратность</t>
  </si>
  <si>
    <t>да</t>
  </si>
  <si>
    <t>ТЕОРИЯ: электробезопасность+схемы → ПРАКТИКА: монтаж 10 типовых задач с наставником → ПОРТФОЛИО: фото работ+чек-лист → ЗАКАЗ: заявки через 2GIS/OLX</t>
  </si>
  <si>
    <t>Сантехник</t>
  </si>
  <si>
    <t>Сантехник: диагностика → согласование стоимости → выполнение работ → рекомендации по эксплуатации.</t>
  </si>
  <si>
    <t>Ремонт/Новостройка</t>
  </si>
  <si>
    <t>ТЕОРИЯ: безопасность+ошибки ремонта (запрос: "Электрика в квартире", "Земсков ремонт") → ПРАКТИКА: работа с наставником → ПОРТФОЛИО: фото объектов+перечень работ → ЗАКАЗ: заявки через 2GIS/OLX/сарафан</t>
  </si>
  <si>
    <t>Плиточник</t>
  </si>
  <si>
    <t>Плиточник: диагностика → согласование стоимости → выполнение работ → рекомендации по эксплуатации.</t>
  </si>
  <si>
    <t>Атырау</t>
  </si>
  <si>
    <t>Маляр/шпаклевка</t>
  </si>
  <si>
    <t>Маляр/шпаклевка: диагностика → согласование стоимости → выполнение работ → рекомендации по эксплуатации.</t>
  </si>
  <si>
    <t>Гипсокартон</t>
  </si>
  <si>
    <t>Гипсокартон: диагностика → согласование стоимости → выполнение работ → рекомендации по эксплуатации.</t>
  </si>
  <si>
    <t>Натяжные потолки</t>
  </si>
  <si>
    <t>Натяжные потолки: диагностика → согласование стоимости → выполнение работ → рекомендации по эксплуатации.</t>
  </si>
  <si>
    <t>Укладка пола (ламинат)</t>
  </si>
  <si>
    <t>Укладка пола (ламинат): диагностика → согласование стоимости → выполнение работ → рекомендации по эксплуатации.</t>
  </si>
  <si>
    <t>Установка дверей</t>
  </si>
  <si>
    <t>Установка дверей: диагностика → согласование стоимости → выполнение работ → рекомендации по эксплуатации.</t>
  </si>
  <si>
    <t>Сварщик</t>
  </si>
  <si>
    <t>Сварщик: диагностика → согласование стоимости → выполнение работ → рекомендации по эксплуатации.</t>
  </si>
  <si>
    <t>Мебель на заказ</t>
  </si>
  <si>
    <t>Мебель на заказ: диагностика → согласование стоимости → выполнение работ → рекомендации по эксплуатации.</t>
  </si>
  <si>
    <t>Монтаж кондиционеров</t>
  </si>
  <si>
    <t>Монтаж кондиционеров: диагностика → согласование стоимости → выполнение работ → рекомендации по эксплуатации.</t>
  </si>
  <si>
    <t>Муж на час</t>
  </si>
  <si>
    <t>Муж на час: диагностика → согласование стоимости → выполнение работ → рекомендации по эксплуатации.</t>
  </si>
  <si>
    <t>оклад+процент</t>
  </si>
  <si>
    <t>Ремонт смартфонов</t>
  </si>
  <si>
    <t>Ремонт смартфонов: диагностика → согласование стоимости → выполнение работ → рекомендации по эксплуатации.</t>
  </si>
  <si>
    <t>Ремонт техники</t>
  </si>
  <si>
    <t>Сервис</t>
  </si>
  <si>
    <t>инструменты, запчасти, фен/паяльник, тестер</t>
  </si>
  <si>
    <t>аккуратность, гарантия, честная диагностика</t>
  </si>
  <si>
    <t>ТЕОРИЯ: пайка+диагностика + iFixit → ПРАКТИКА: 20 ремонтов на старых устройствах → ПОРТФОЛИО: прайс+гарантия → ЗАКАЗ: быстрый приём "диагностика 30 мин"</t>
  </si>
  <si>
    <t>Ремонт ноутбуков</t>
  </si>
  <si>
    <t>Ремонт ноутбуков: диагностика → согласование стоимости → выполнение работ → рекомендации по эксплуатации.</t>
  </si>
  <si>
    <t>ТЕОРИЯ: пайка+схемотехника + iFixit (запрос: "Ремонт телефонов для новичков") → ПРАКТИКА: 20 ремонтов на старых устройствах → ПОРТФОЛИО: типовые поломки+гарантия → ЗАКАЗ: быстрый прайс+диагностика</t>
  </si>
  <si>
    <t>Установка Windows/ПО</t>
  </si>
  <si>
    <t>Установка Windows/ПО: диагностика → согласование стоимости → выполнение работ → рекомендации по эксплуатации.</t>
  </si>
  <si>
    <t>Настройка роутера/Wi-Fi</t>
  </si>
  <si>
    <t>Настройка роутера/Wi-Fi: диагностика → согласование стоимости → выполнение работ → рекомендации по эксплуатации.</t>
  </si>
  <si>
    <t>Ремонт ТВ</t>
  </si>
  <si>
    <t>Ремонт ТВ: диагностика → согласование стоимости → выполнение работ → рекомендации по эксплуатации.</t>
  </si>
  <si>
    <t>Ремонт стиральных машин</t>
  </si>
  <si>
    <t>Ремонт стиральных машин: диагностика → согласование стоимости → выполнение работ → рекомендации по эксплуатации.</t>
  </si>
  <si>
    <t>Ремонт холодильников</t>
  </si>
  <si>
    <t>Ремонт холодильников: диагностика → согласование стоимости → выполнение работ → рекомендации по эксплуатации.</t>
  </si>
  <si>
    <t>Сервис кондиционеров</t>
  </si>
  <si>
    <t>Сервис кондиционеров: диагностика → согласование стоимости → выполнение работ → рекомендации по эксплуатации.</t>
  </si>
  <si>
    <t>Ремонт принтеров/МФУ</t>
  </si>
  <si>
    <t>Ремонт принтеров/МФУ: диагностика → согласование стоимости → выполнение работ → рекомендации по эксплуатации.</t>
  </si>
  <si>
    <t>Восстановление данных</t>
  </si>
  <si>
    <t>Восстановление данных: диагностика → согласование стоимости → выполнение работ → рекомендации по эксплуатации.</t>
  </si>
  <si>
    <t>Сборка ПК</t>
  </si>
  <si>
    <t>Сборка ПК: диагностика → согласование стоимости → выполнение работ → рекомендации по эксплуатации.</t>
  </si>
  <si>
    <t>СТО диагностика</t>
  </si>
  <si>
    <t>СТО диагностика: диагностика → согласование стоимости → выполнение работ → рекомендации по эксплуатации.</t>
  </si>
  <si>
    <t>Автоуслуги</t>
  </si>
  <si>
    <t>Авто</t>
  </si>
  <si>
    <t>инструменты, диагностика, расходники</t>
  </si>
  <si>
    <t>Аварийный случай</t>
  </si>
  <si>
    <t>ТЕОРИЯ: OBD-II диагностика (запрос: "Как пользоваться автосканером") + безопасность → ПРАКТИКА: чтение кодов+кейсы → ПОРТФОЛИО: список услуг+отзывы → ЗАКАЗ: партнерство с мойками/СТО</t>
  </si>
  <si>
    <t>Автоэлектрик</t>
  </si>
  <si>
    <t>Автоэлектрик: диагностика → согласование стоимости → выполнение работ → рекомендации по эксплуатации.</t>
  </si>
  <si>
    <t>Шиномонтаж</t>
  </si>
  <si>
    <t>Шиномонтаж: диагностика → согласование стоимости → выполнение работ → рекомендации по эксплуатации.</t>
  </si>
  <si>
    <t>Замена масла/ТО</t>
  </si>
  <si>
    <t>Замена масла/ТО: диагностика → согласование стоимости → выполнение работ → рекомендации по эксплуатации.</t>
  </si>
  <si>
    <t>Кузовные работы</t>
  </si>
  <si>
    <t>Кузовные работы: диагностика → согласование стоимости → выполнение работ → рекомендации по эксплуатации.</t>
  </si>
  <si>
    <t>ТО/обслуживание</t>
  </si>
  <si>
    <t>Покраска авто</t>
  </si>
  <si>
    <t>Покраска авто: диагностика → согласование стоимости → выполнение работ → рекомендации по эксплуатации.</t>
  </si>
  <si>
    <t>Детейлинг</t>
  </si>
  <si>
    <t>Детейлинг: диагностика → согласование стоимости → выполнение работ → рекомендации по эксплуатации.</t>
  </si>
  <si>
    <t>Эвакуатор</t>
  </si>
  <si>
    <t>Эвакуатор: диагностика → согласование стоимости → выполнение работ → рекомендации по эксплуатации.</t>
  </si>
  <si>
    <t>Трезвый водитель</t>
  </si>
  <si>
    <t>Трезвый водитель: диагностика → согласование стоимости → выполнение работ → рекомендации по эксплуатации.</t>
  </si>
  <si>
    <t>Автоподбор</t>
  </si>
  <si>
    <t>Автоподбор: диагностика → согласование стоимости → выполнение работ → рекомендации по эксплуатации.</t>
  </si>
  <si>
    <t>Установка сигнализации</t>
  </si>
  <si>
    <t>Установка сигнализации: диагностика → согласование стоимости → выполнение работ → рекомендации по эксплуатации.</t>
  </si>
  <si>
    <t>Курьер (пеший)</t>
  </si>
  <si>
    <t>Курьер (пеший): оказание услуги по запросу клиента. Сроки и объем — по согласованию.</t>
  </si>
  <si>
    <t>Логистика и Доставка</t>
  </si>
  <si>
    <t>Логистика</t>
  </si>
  <si>
    <t>сменный</t>
  </si>
  <si>
    <t>смартфон, навигатор, транспорт/термосумка</t>
  </si>
  <si>
    <t>Доставка мебели/техники</t>
  </si>
  <si>
    <t>ТЕОРИЯ: ПДД+маршрутизация (2GIS/Waze) + этика общения → ПРАКТИКА: оптимизация 10 маршрутов → ПОРТФОЛИО: рейтинг/отзывы → ЗАКАЗ: стабильные смены+премиум доставка</t>
  </si>
  <si>
    <t>Курьер (авто)</t>
  </si>
  <si>
    <t>Курьер (авто): оказание услуги по запросу клиента. Сроки и объем — по согласованию.</t>
  </si>
  <si>
    <t>Грузоперевозки (Газель)</t>
  </si>
  <si>
    <t>Грузоперевозки (Газель): оказание услуги по запросу клиента. Сроки и объем — по согласованию.</t>
  </si>
  <si>
    <t>Переезд под ключ</t>
  </si>
  <si>
    <t>Переезд под ключ: оказание услуги по запросу клиента. Сроки и объем — по согласованию.</t>
  </si>
  <si>
    <t>Грузчики</t>
  </si>
  <si>
    <t>Грузчики: оказание услуги по запросу клиента. Сроки и объем — по согласованию.</t>
  </si>
  <si>
    <t>Экспресс-доставка 1–2 часа</t>
  </si>
  <si>
    <t>Экспресс-доставка 1–2 часа: оказание услуги по запросу клиента. Сроки и объем — по согласованию.</t>
  </si>
  <si>
    <t>Доставка срочно</t>
  </si>
  <si>
    <t>Межгород доставка</t>
  </si>
  <si>
    <t>Межгород доставка: оказание услуги по запросу клиента. Сроки и объем — по согласованию.</t>
  </si>
  <si>
    <t>Доставка мебели/техники: оказание услуги по запросу клиента. Сроки и объем — по согласованию.</t>
  </si>
  <si>
    <t>Такелаж</t>
  </si>
  <si>
    <t>Такелаж: оказание услуги по запросу клиента. Сроки и объем — по согласованию.</t>
  </si>
  <si>
    <t>Упаковка при переезде</t>
  </si>
  <si>
    <t>Упаковка при переезде: оказание услуги по запросу клиента. Сроки и объем — по согласованию.</t>
  </si>
  <si>
    <t>Репетитор по математике</t>
  </si>
  <si>
    <t>Репетитор по математике: занятия по плану + домашние задания + контроль прогресса. Формат — онлайн/офлайн.</t>
  </si>
  <si>
    <t>Обучение</t>
  </si>
  <si>
    <t>ноутбук/планшет, материалы, доска/тетради</t>
  </si>
  <si>
    <t>Экзамены/ЕНТ</t>
  </si>
  <si>
    <t>ТЕОРИЯ: формат ЕНТ/IELTS (Testcenter.kz) + методика → ПРАКТИКА: план 10 уроков+домашки → ПОРТФОЛИО: результаты учеников → ЗАКАЗ: пробный урок+пакеты занятий</t>
  </si>
  <si>
    <t>Экзамен скоро</t>
  </si>
  <si>
    <t>Репетитор по английскому</t>
  </si>
  <si>
    <t>Репетитор по английскому: занятия по плану + домашние задания + контроль прогресса. Формат — онлайн/офлайн.</t>
  </si>
  <si>
    <t>Повышение навыков</t>
  </si>
  <si>
    <t>Подготовка к ЕНТ</t>
  </si>
  <si>
    <t>Подготовка к ЕНТ: занятия по плану + домашние задания + контроль прогресса. Формат — онлайн/офлайн.</t>
  </si>
  <si>
    <t>IELTS/TOEFL подготовка</t>
  </si>
  <si>
    <t>IELTS/TOEFL подготовка: занятия по плану + домашние задания + контроль прогресса. Формат — онлайн/офлайн.</t>
  </si>
  <si>
    <t>KK:B1, RU:B2, EN:C1</t>
  </si>
  <si>
    <t>ТЕОРИЯ: структура экзамена + критерии → ПРАКТИКА: 10 проверок writing + speaking с фидбеком → ПОРТФОЛИО: результаты учеников → ЗАКАЗ: пробный урок + пакет 8/16 занятий</t>
  </si>
  <si>
    <t>Физика/химия репетитор</t>
  </si>
  <si>
    <t>Физика/химия репетитор: занятия по плану + домашние задания + контроль прогресса. Формат — онлайн/офлайн.</t>
  </si>
  <si>
    <t>Excel обучение</t>
  </si>
  <si>
    <t>Excel обучение: занятия по плану + домашние задания + контроль прогресса. Формат — онлайн/офлайн.</t>
  </si>
  <si>
    <t>Power BI обучение</t>
  </si>
  <si>
    <t>Power BI обучение: занятия по плану + домашние задания + контроль прогресса. Формат — онлайн/офлайн.</t>
  </si>
  <si>
    <t>Курсы SMM</t>
  </si>
  <si>
    <t>Курсы SMM: занятия по плану + домашние задания + контроль прогресса. Формат — онлайн/офлайн.</t>
  </si>
  <si>
    <t>Музыка (пианино/домбра)</t>
  </si>
  <si>
    <t>Музыка (пианино/домбра): занятия по плану + домашние задания + контроль прогресса. Формат — онлайн/офлайн.</t>
  </si>
  <si>
    <t>Подготовка к школе</t>
  </si>
  <si>
    <t>Подготовка к школе: занятия по плану + домашние задания + контроль прогресса. Формат — онлайн/офлайн.</t>
  </si>
  <si>
    <t>Юрист по договорам</t>
  </si>
  <si>
    <t>Юрист по договорам: консультация, подготовка документов и сопровождение. Конфиденциальность и сроки.</t>
  </si>
  <si>
    <t>Проф.услуги</t>
  </si>
  <si>
    <t>Бизнес</t>
  </si>
  <si>
    <t>21-65</t>
  </si>
  <si>
    <t>Спор/претензия</t>
  </si>
  <si>
    <t>конфиденциальность, внимательность к деталям, сроки</t>
  </si>
  <si>
    <t>KK:B2, RU:C1, EN:A2</t>
  </si>
  <si>
    <t>ТЕОРИЯ: обновления законов (Uchet.kz/Параграф) + практика документов → ПРАКТИКА: 20 шаблонов/кейсов → ПОРТФОЛИО: чек-листы услуг+конфиденциальность → ЗАКАЗ: консультация 30 мин+пакеты</t>
  </si>
  <si>
    <t>Страх штрафов</t>
  </si>
  <si>
    <t>Юрист по недвижимости</t>
  </si>
  <si>
    <t>Юрист по недвижимости: консультация, подготовка документов и сопровождение. Конфиденциальность и сроки.</t>
  </si>
  <si>
    <t>Сделка/документы</t>
  </si>
  <si>
    <t>Бухгалтер ИП/ТОО</t>
  </si>
  <si>
    <t>Бухгалтер ИП/ТОО: консультация, подготовка документов и сопровождение. Конфиденциальность и сроки.</t>
  </si>
  <si>
    <t>18-65</t>
  </si>
  <si>
    <t>точность, сроки, ответственность за отчеты</t>
  </si>
  <si>
    <t>KK:A2, RU:C1, EN:A1</t>
  </si>
  <si>
    <t>Налоговая отчетность</t>
  </si>
  <si>
    <t>Налоговая отчетность: консультация, подготовка документов и сопровождение. Конфиденциальность и сроки.</t>
  </si>
  <si>
    <t>KK:B1, RU:C1, EN:A1</t>
  </si>
  <si>
    <t>Регистрация ИП/ТОО</t>
  </si>
  <si>
    <t>Регистрация ИП/ТОО: консультация, подготовка документов и сопровождение. Конфиденциальность и сроки.</t>
  </si>
  <si>
    <t>Отчетность/проверка</t>
  </si>
  <si>
    <t>HR-документы</t>
  </si>
  <si>
    <t>HR-документы: консультация, подготовка документов и сопровождение. Конфиденциальность и сроки.</t>
  </si>
  <si>
    <t>Бизнес-консультант</t>
  </si>
  <si>
    <t>Бизнес-консультант: консультация, подготовка документов и сопровождение. Конфиденциальность и сроки.</t>
  </si>
  <si>
    <t>Финансовый консультант</t>
  </si>
  <si>
    <t>Финансовый консультант: консультация, подготовка документов и сопровождение. Конфиденциальность и сроки.</t>
  </si>
  <si>
    <t>Тендер-специалист</t>
  </si>
  <si>
    <t>Тендер-специалист: консультация, подготовка документов и сопровождение. Конфиденциальность и сроки.</t>
  </si>
  <si>
    <t>Карьерный консультант (CV)</t>
  </si>
  <si>
    <t>Карьерный консультант (CV): консультация, подготовка документов и сопровождение. Конфиденциальность и сроки.</t>
  </si>
  <si>
    <t>Менеджер Kaspi</t>
  </si>
  <si>
    <t>Менеджер Kaspi: оказание услуги по запросу клиента. Сроки и объем — по согласованию.</t>
  </si>
  <si>
    <t>E-commerce услуги</t>
  </si>
  <si>
    <t>E-commerce</t>
  </si>
  <si>
    <t>Рост продаж</t>
  </si>
  <si>
    <t>ТЕОРИЯ: Kaspi University + аналитика WB (MPSTATS) (запрос: "Выйти на WB из Казахстана") → ПРАКТИКА: 20 карточек+SEO → ПОРТФОЛИО: кейсы роста продаж → ЗАКАЗ: % от оборота/оклад+бонус</t>
  </si>
  <si>
    <t>Менеджер Wildberries</t>
  </si>
  <si>
    <t>Менеджер Wildberries: оказание услуги по запросу клиента. Сроки и объем — по согласованию.</t>
  </si>
  <si>
    <t>Выход на маркетплейс</t>
  </si>
  <si>
    <t>ТЕОРИЯ: карточки+поставки+аналитика (MPSTATS) → ПРАКТИКА: оформить 20 карточек+SEO → ПОРТФОЛИО: кейс роста продаж → ЗАКАЗ: оплата % от оборота/оклад+бонус</t>
  </si>
  <si>
    <t>Оформление карточек товара</t>
  </si>
  <si>
    <t>Оформление карточек товара: оказание услуги по запросу клиента. Сроки и объем — по согласованию.</t>
  </si>
  <si>
    <t>Предметная фотосъемка</t>
  </si>
  <si>
    <t>Предметная фотосъемка: оказание услуги по запросу клиента. Сроки и объем — по согласованию.</t>
  </si>
  <si>
    <t>Фулфилмент/упаковка</t>
  </si>
  <si>
    <t>Фулфилмент/упаковка: оказание услуги по запросу клиента. Сроки и объем — по согласованию.</t>
  </si>
  <si>
    <t>Сезонная распродажа</t>
  </si>
  <si>
    <t>Оператор чата поддержки</t>
  </si>
  <si>
    <t>Оператор чата поддержки: оказание услуги по запросу клиента. Сроки и объем — по согласованию.</t>
  </si>
  <si>
    <t>Настройка рекламы маркетплейса</t>
  </si>
  <si>
    <t>Настройка рекламы маркетплейса: оказание услуги по запросу клиента. Сроки и объем — по согласованию.</t>
  </si>
  <si>
    <t>Логист маркетплейсов</t>
  </si>
  <si>
    <t>Логист маркетплейсов: оказание услуги по запросу клиента. Сроки и объем — по согласованию.</t>
  </si>
  <si>
    <t>Мерчендайзер</t>
  </si>
  <si>
    <t>Мерчендайзер: оказание услуги по запросу клиента. Сроки и объем — по согласованию.</t>
  </si>
  <si>
    <t>Промоутер</t>
  </si>
  <si>
    <t>Промоутер: оказание услуги по запросу клиента. Сроки и объем — по согласованию.</t>
  </si>
  <si>
    <t>Швея/ателье</t>
  </si>
  <si>
    <t>Швея/ателье: оказание услуги по запросу клиента. Сроки и объем — по согласованию.</t>
  </si>
  <si>
    <t>Производство/Ремесло</t>
  </si>
  <si>
    <t>Производство</t>
  </si>
  <si>
    <t>Индивидуальный пошив</t>
  </si>
  <si>
    <t>ТЕОРИЯ: материалы+оборудование (запрос: "Уроки шитья", "Холодная ковка") → ПРАКТИКА: 10 изделий → ПОРТФОЛИО: фото/видео процесса → ЗАКАЗ: каталог+предзаказ</t>
  </si>
  <si>
    <t>Сроки горят</t>
  </si>
  <si>
    <t>Ремонт одежды</t>
  </si>
  <si>
    <t>Ремонт одежды: оказание услуги по запросу клиента. Сроки и объем — по согласованию.</t>
  </si>
  <si>
    <t>Заказ на производство</t>
  </si>
  <si>
    <t>Изготовление штор</t>
  </si>
  <si>
    <t>Изготовление штор: оказание услуги по запросу клиента. Сроки и объем — по согласованию.</t>
  </si>
  <si>
    <t>Партия товара</t>
  </si>
  <si>
    <t>Вышивка/принт на одежде</t>
  </si>
  <si>
    <t>Вышивка/принт на одежде: оказание услуги по запросу клиента. Сроки и объем — по согласованию.</t>
  </si>
  <si>
    <t>Полиграфия (визитки/баннеры)</t>
  </si>
  <si>
    <t>Полиграфия (визитки/баннеры): оказание услуги по запросу клиента. Сроки и объем — по согласованию.</t>
  </si>
  <si>
    <t>Изготовление вывесок</t>
  </si>
  <si>
    <t>Изготовление вывесок: оказание услуги по запросу клиента. Сроки и объем — по согласованию.</t>
  </si>
  <si>
    <t>Сварочные изделия на заказ</t>
  </si>
  <si>
    <t>Сварочные изделия на заказ: оказание услуги по запросу клиента. Сроки и объем — по согласованию.</t>
  </si>
  <si>
    <t>Сувенирка/мерч</t>
  </si>
  <si>
    <t>Сувенирка/мерч: оказание услуги по запросу клиента. Сроки и объем — по согласованию.</t>
  </si>
  <si>
    <t>Гравировка/резка</t>
  </si>
  <si>
    <t>Гравировка/резка: оказание услуги по запросу клиента. Сроки и объем — по согласованию.</t>
  </si>
  <si>
    <t>Сборка изделий (цех)</t>
  </si>
  <si>
    <t>Сборка изделий (цех): оказание услуги по запросу клиента. Сроки и объем — по согласованию.</t>
  </si>
  <si>
    <t>Выгул собак</t>
  </si>
  <si>
    <t>Выгул собак: оказание услуги по запросу клиента. Сроки и объем — по согласованию.</t>
  </si>
  <si>
    <t>Питомцы</t>
  </si>
  <si>
    <t>Услуги для животных</t>
  </si>
  <si>
    <t>поводок, переноска, средства ухода</t>
  </si>
  <si>
    <t>Срочно присмотреть</t>
  </si>
  <si>
    <t>ТЕОРИЯ: зоопсихология+первая помощь (запрос: "Сигналы собак", "Груминг породы") → ПРАКТИКА: 10 выгулив/грумингов → ПОРТФОЛИО: отзывы+договор ответственности → ЗАКАЗ: подписка/абонемент</t>
  </si>
  <si>
    <t>Передержка</t>
  </si>
  <si>
    <t>Передержка: оказание услуги по запросу клиента. Сроки и объем — по согласованию.</t>
  </si>
  <si>
    <t>Груминг</t>
  </si>
  <si>
    <t>Груминг: оказание услуги по запросу клиента. Сроки и объем — по согласованию.</t>
  </si>
  <si>
    <t>Отпуск/командировка</t>
  </si>
  <si>
    <t>Дрессировка</t>
  </si>
  <si>
    <t>Дрессировка: оказание услуги по запросу клиента. Сроки и объем — по согласованию.</t>
  </si>
  <si>
    <t>Зооняня (приходящая)</t>
  </si>
  <si>
    <t>Зооняня (приходящая): оказание услуги по запросу клиента. Сроки и объем — по согласованию.</t>
  </si>
  <si>
    <t>Зоотакси</t>
  </si>
  <si>
    <t>Зоотакси: оказание услуги по запросу клиента. Сроки и объем — по согласованию.</t>
  </si>
  <si>
    <t>Уход за котами</t>
  </si>
  <si>
    <t>Уход за котами: оказание услуги по запросу клиента. Сроки и объем — по согласованию.</t>
  </si>
  <si>
    <t>Стрижка когтей/уход</t>
  </si>
  <si>
    <t>Стрижка когтей/уход: оказание услуги по запросу клиента. Сроки и объем — по согласованию.</t>
  </si>
  <si>
    <t>Уборка снега</t>
  </si>
  <si>
    <t>Уборка снега: оказание услуги по запросу клиента. Сроки и объем — по согласованию.</t>
  </si>
  <si>
    <t>Сад/Дача</t>
  </si>
  <si>
    <t>Сезонные</t>
  </si>
  <si>
    <t>сезонная</t>
  </si>
  <si>
    <t>инструменты, перчатки, триммер/лопата</t>
  </si>
  <si>
    <t>Подготовка участка</t>
  </si>
  <si>
    <t>сезонно</t>
  </si>
  <si>
    <t>ТЕОРИЯ: календарь работ+болезни растений (запрос: "Обрезка деревьев", "Автополив монтаж") → ПРАКТИКА: 5 участков → ПОРТФОЛИО: фото до/после → ЗАКАЗ: сезонные пакеты</t>
  </si>
  <si>
    <t>Сезон срочно</t>
  </si>
  <si>
    <t>Покос травы</t>
  </si>
  <si>
    <t>Покос травы: оказание услуги по запросу клиента. Сроки и объем — по согласованию.</t>
  </si>
  <si>
    <t>Садовник</t>
  </si>
  <si>
    <t>Садовник: оказание услуги по запросу клиента. Сроки и объем — по согласованию.</t>
  </si>
  <si>
    <t>Сезонные работы</t>
  </si>
  <si>
    <t>Физически тяжело</t>
  </si>
  <si>
    <t>Озеленение</t>
  </si>
  <si>
    <t>Озеленение: оказание услуги по запросу клиента. Сроки и объем — по согласованию.</t>
  </si>
  <si>
    <t>Обрезка деревьев</t>
  </si>
  <si>
    <t>Обрезка деревьев: оказание услуги по запросу клиента. Сроки и объем — по согласованию.</t>
  </si>
  <si>
    <t>Чистка территории</t>
  </si>
  <si>
    <t>Чистка территории: оказание услуги по запросу клиента. Сроки и объем — по согласованию.</t>
  </si>
  <si>
    <t>Капельный полив монтаж</t>
  </si>
  <si>
    <t>Капельный полив монтаж: оказание услуги по запросу клиента. Сроки и объем — по согласованию.</t>
  </si>
  <si>
    <t>Монтаж видеонаблюдения</t>
  </si>
  <si>
    <t>Монтаж видеонаблюдения: оказание услуги по запросу клиента. Сроки и объем — по согласованию.</t>
  </si>
  <si>
    <t>Безопасность/Слаботочка</t>
  </si>
  <si>
    <t>Безопасность</t>
  </si>
  <si>
    <t>перфоратор, кабель, крепёж, тестер</t>
  </si>
  <si>
    <t>Усиление безопасности</t>
  </si>
  <si>
    <t>ТЕОРИЯ: IP-сети+Hikvision/Dahua (запрос: "Монтаж видеонаблюдения", "MikroTik настройка") → ПРАКТИКА: 3 объекта+обжим витой пары → ПОРТФОЛИО: схемы+акты работ → ЗАКАЗ: обслуживание по договору</t>
  </si>
  <si>
    <t>Установка сигнализации: оказание услуги по запросу клиента. Сроки и объем — по согласованию.</t>
  </si>
  <si>
    <t>Переезд/новый объект</t>
  </si>
  <si>
    <t>Домофон/СКУД</t>
  </si>
  <si>
    <t>Домофон/СКУД: оказание услуги по запросу клиента. Сроки и объем — по согласованию.</t>
  </si>
  <si>
    <t>Монтаж в квартиру/офис</t>
  </si>
  <si>
    <t>Умный дом</t>
  </si>
  <si>
    <t>Умный дом: оказание услуги по запросу клиента. Сроки и объем — по согласованию.</t>
  </si>
  <si>
    <t>Монтаж витой пары/кабеля</t>
  </si>
  <si>
    <t>Монтаж витой пары/кабеля: оказание услуги по запросу клиента. Сроки и объем — по согласованию.</t>
  </si>
  <si>
    <t>Настройка сети офиса</t>
  </si>
  <si>
    <t>Настройка сети офиса: оказание услуги по запросу клиента. Сроки и объем — по согласованию.</t>
  </si>
  <si>
    <t>Установка замков/сейфов</t>
  </si>
  <si>
    <t>Установка замков/сейфов: оказание услуги по запросу клиента. Сроки и объем — по согласованию.</t>
  </si>
  <si>
    <t>Пол</t>
  </si>
  <si>
    <t>Возраст</t>
  </si>
  <si>
    <t>Родной язык</t>
  </si>
  <si>
    <t>Уровень Каз. языка</t>
  </si>
  <si>
    <t>Уровень Рус. языка</t>
  </si>
  <si>
    <t>Уровень англ. языка</t>
  </si>
  <si>
    <t>Регион</t>
  </si>
  <si>
    <t>Локация (Город/Аул)</t>
  </si>
  <si>
    <t>Гражданство</t>
  </si>
  <si>
    <t>Кол-во детей</t>
  </si>
  <si>
    <t>Социальный статус</t>
  </si>
  <si>
    <t>Планируемые события (12 мес)</t>
  </si>
  <si>
    <t>Готовность к обучению</t>
  </si>
  <si>
    <t>Специальность</t>
  </si>
  <si>
    <t>Отрасль</t>
  </si>
  <si>
    <t>Опыт (Занятость)</t>
  </si>
  <si>
    <t>Тип жилья</t>
  </si>
  <si>
    <t>Готовность к переезду</t>
  </si>
  <si>
    <t>Предпочтительный формат</t>
  </si>
  <si>
    <t>Доступность времени (Слоты)</t>
  </si>
  <si>
    <t>Мин. ставка (тг/час)</t>
  </si>
  <si>
    <t>Наличие смартфона</t>
  </si>
  <si>
    <t>Наличие ПК</t>
  </si>
  <si>
    <t>Качество интернета</t>
  </si>
  <si>
    <t>Наличие водительских прав</t>
  </si>
  <si>
    <t>Мобильность (Авто)</t>
  </si>
  <si>
    <t>Рабочие инструменты</t>
  </si>
  <si>
    <t>Цифровая грамотность (1-10)</t>
  </si>
  <si>
    <t>Триггеры соискателя</t>
  </si>
  <si>
    <t>Ограничения по здоровью</t>
  </si>
  <si>
    <t>Жен</t>
  </si>
  <si>
    <t>kk</t>
  </si>
  <si>
    <t>Базовый</t>
  </si>
  <si>
    <t>Средний</t>
  </si>
  <si>
    <t>Город</t>
  </si>
  <si>
    <t>Разведен(а)</t>
  </si>
  <si>
    <t>Курсы/Сертификаты</t>
  </si>
  <si>
    <t>Есть (1 год)</t>
  </si>
  <si>
    <t>Да</t>
  </si>
  <si>
    <t>Оффлайн</t>
  </si>
  <si>
    <t>День</t>
  </si>
  <si>
    <t>Стабильный (Wi-Fi/4G)</t>
  </si>
  <si>
    <t>Есть</t>
  </si>
  <si>
    <t>Ноутбук</t>
  </si>
  <si>
    <t>Желание социального статуса (престижная техника/авто)</t>
  </si>
  <si>
    <t>Муж</t>
  </si>
  <si>
    <t>Высокий</t>
  </si>
  <si>
    <t>Высшее (магистр)</t>
  </si>
  <si>
    <t>Нет</t>
  </si>
  <si>
    <t>Удаленно</t>
  </si>
  <si>
    <t>Вечер</t>
  </si>
  <si>
    <t>Слабый</t>
  </si>
  <si>
    <t>Боль от выгорания в найме</t>
  </si>
  <si>
    <t>ru</t>
  </si>
  <si>
    <t>Райцентр</t>
  </si>
  <si>
    <t>Холост/Незамужем</t>
  </si>
  <si>
    <t>Высшее (бакалавр)</t>
  </si>
  <si>
    <t>Утро</t>
  </si>
  <si>
    <t>Инструменты</t>
  </si>
  <si>
    <t>Страх остаться в ауле без перспектив</t>
  </si>
  <si>
    <t>Аул</t>
  </si>
  <si>
    <t>Есть (3+ года)</t>
  </si>
  <si>
    <t>Гибрид</t>
  </si>
  <si>
    <t>Только мобильный</t>
  </si>
  <si>
    <t>Смартфон</t>
  </si>
  <si>
    <t>Средне-специальное</t>
  </si>
  <si>
    <t>Боязнь цифровых технологий</t>
  </si>
  <si>
    <t>Любое</t>
  </si>
  <si>
    <t>Женат/Замужем</t>
  </si>
  <si>
    <t>Выходные</t>
  </si>
  <si>
    <t>Страх «уята» перед родственниками за низкий доход</t>
  </si>
  <si>
    <t>Боль от финансовой зависимости от семьи</t>
  </si>
  <si>
    <t>Среднее</t>
  </si>
  <si>
    <t>Страх возрастной невостребованности (45+)</t>
  </si>
  <si>
    <t>Боязнь тяжелого физтруда</t>
  </si>
  <si>
    <t>Среднее (неоконченное)</t>
  </si>
  <si>
    <t>Страх не обеспечить детей</t>
  </si>
  <si>
    <t>Страх выглядеть «неудачником» в соцсетях</t>
  </si>
  <si>
    <t>Имя</t>
  </si>
  <si>
    <t>Языки</t>
  </si>
  <si>
    <t>Опыт (лет)</t>
  </si>
  <si>
    <t>Прайс</t>
  </si>
  <si>
    <t>Ценовой сегмент</t>
  </si>
  <si>
    <t>Подтверждение квалификации</t>
  </si>
  <si>
    <t>Верификация (AI-тест, %)</t>
  </si>
  <si>
    <t>Уровень по верификации</t>
  </si>
  <si>
    <t xml:space="preserve">Кейсы / Портфолио </t>
  </si>
  <si>
    <t>Инвентарь / Навыки</t>
  </si>
  <si>
    <t>Количество отзывов</t>
  </si>
  <si>
    <t>Рейтинг</t>
  </si>
  <si>
    <t>Отзыв 1</t>
  </si>
  <si>
    <t>Отзыв 2</t>
  </si>
  <si>
    <t>Отзыв 3</t>
  </si>
  <si>
    <t>Статус проверки</t>
  </si>
  <si>
    <t>SMM-01</t>
  </si>
  <si>
    <t>SMM-менеджер</t>
  </si>
  <si>
    <t>Айгерим Султанова</t>
  </si>
  <si>
    <t>RU, KZ, EN</t>
  </si>
  <si>
    <t>200 000 ₸</t>
  </si>
  <si>
    <t>Курсы + коммерческие проекты</t>
  </si>
  <si>
    <t>instagram.com/aigerim.smm</t>
  </si>
  <si>
    <t>Контент-план, таргет, аналитика</t>
  </si>
  <si>
    <t>Асемгуль: Благодаря Айгерим мы наконец-то выстроили нормальный контент-план и перестали постить хаотично. За два месяца стало больше заявок и живых комментариев. Работает ответственно и всегда на связи. 5⭐</t>
  </si>
  <si>
    <t>Дамир: В целом доволен, отчёты понятные, идеи хорошие. Иногда отвечает не сразу, но результат по охватам есть. 4⭐</t>
  </si>
  <si>
    <t>Жанна: Цена выше, чем ожидала, но качество работы это компенсирует. Хотелось бы чуть больше инициативы. 4⭐</t>
  </si>
  <si>
    <t>Верифицирован</t>
  </si>
  <si>
    <t>SMM-02</t>
  </si>
  <si>
    <t>Руслан Иманбек</t>
  </si>
  <si>
    <t>350 000 ₸</t>
  </si>
  <si>
    <t>Высшее + кейсы</t>
  </si>
  <si>
    <t>notion.site/ruslan-smm</t>
  </si>
  <si>
    <t>Воронки продаж, реклама, отчёты</t>
  </si>
  <si>
    <t>Ирина: Руслан полностью пересобрал нашу стратегию, заявки выросли почти в два раза. Всё чётко по цифрам и без воды. Очень профессиональный подход. 5⭐</t>
  </si>
  <si>
    <t>Ерлан: Понравилось, что объясняет все решения и показывает аналитику. Работать комфортно, результат видно. 5⭐</t>
  </si>
  <si>
    <t>Марат: Немного дороговато для малого бизнеса, но эффект реально есть. В целом доволен. 4⭐</t>
  </si>
  <si>
    <t>SMM-03</t>
  </si>
  <si>
    <t>Аружан Касымова</t>
  </si>
  <si>
    <t>RU, KZ</t>
  </si>
  <si>
    <t>120 000 ₸</t>
  </si>
  <si>
    <t>Дешёвый</t>
  </si>
  <si>
    <t>Самообучение + практика</t>
  </si>
  <si>
    <t>instagram.com/aruzhan.smm</t>
  </si>
  <si>
    <t>Reels, сторис, базовый дизайн</t>
  </si>
  <si>
    <t>Айша: Аккуратно ведёт страницу, стало красивее и понятнее. Для старта — хороший вариант. 4⭐</t>
  </si>
  <si>
    <t>Нурлан: Иногда не хватает идей и инициативы, но задачи выполняет честно. 3⭐</t>
  </si>
  <si>
    <t>Сауле: За свою цену работает нормально, серьёзных проблем не было. 4⭐</t>
  </si>
  <si>
    <t>Частично верифицирован</t>
  </si>
  <si>
    <t>SMM-04</t>
  </si>
  <si>
    <t>Нурсултан Алиев</t>
  </si>
  <si>
    <t>280 000 ₸</t>
  </si>
  <si>
    <t>Сертификаты + кейсы</t>
  </si>
  <si>
    <t>drive.google.com/ns-portfolio</t>
  </si>
  <si>
    <t>Таргет, стратегия, аналитика</t>
  </si>
  <si>
    <t>Бекзат: Настроил рекламу и наконец пошли нормальные заявки, а не просто лайки. Понравился системный подход. 5⭐</t>
  </si>
  <si>
    <t>Лейла: Хорошо разбирается в цифрах и объясняет простым языком. Работать комфортно. 5⭐</t>
  </si>
  <si>
    <t>Тимур: Результат есть, но хотелось бы чуть быстрее внедрять новые идеи. 4⭐</t>
  </si>
  <si>
    <t>SMM-05</t>
  </si>
  <si>
    <t>Диана Ахметова</t>
  </si>
  <si>
    <t>90 000 ₸</t>
  </si>
  <si>
    <t>Самообучение</t>
  </si>
  <si>
    <t>Начальный</t>
  </si>
  <si>
    <t>t.me/diana.smm</t>
  </si>
  <si>
    <t>Постинг, сторис, базовый монтаж</t>
  </si>
  <si>
    <t>Айгуль: Старательная, но видно, что опыта пока мало. Иногда приходится много объяснять. 3⭐</t>
  </si>
  <si>
    <t>Рустам: Как помощник для простых задач подойдёт, но стратегию лучше доверять более опытному специалисту. 3⭐</t>
  </si>
  <si>
    <t>Жанар: В целом нормально для начинающего уровня и небольшой цены. 4⭐</t>
  </si>
  <si>
    <t>Не верифицирован</t>
  </si>
  <si>
    <t>SMM-06</t>
  </si>
  <si>
    <t>Мадина Тлеубек</t>
  </si>
  <si>
    <t>170 000 ₸</t>
  </si>
  <si>
    <t>Курсы + проекты</t>
  </si>
  <si>
    <t>behance.net/madina-smm</t>
  </si>
  <si>
    <t>Контент, таргет, визуал</t>
  </si>
  <si>
    <t>Алия: Страница стала выглядеть намного профессиональнее, подписчики стали активнее. 5⭐</t>
  </si>
  <si>
    <t>Егор: Работает стабильно, без срывов сроков, но иногда хочется больше креатива. 4⭐</t>
  </si>
  <si>
    <t>Саида: В целом довольна сотрудничеством, результат есть. 4⭐</t>
  </si>
  <si>
    <t>SMM-07</t>
  </si>
  <si>
    <t>Ернар Беков</t>
  </si>
  <si>
    <t>160 000 ₸</t>
  </si>
  <si>
    <t>Самообучение + кейсы</t>
  </si>
  <si>
    <t>instagram.com/ernar.smm</t>
  </si>
  <si>
    <t>Фото/видео, отчёты, постинг</t>
  </si>
  <si>
    <t>Меруерт: Помог навести порядок в контенте и расписании постов, стало удобнее работать. 5⭐</t>
  </si>
  <si>
    <t>Данияр: Иногда долго согласовывает правки, но в итоге делает всё нормально. 4⭐</t>
  </si>
  <si>
    <t>Инга: В целом хороший специалист за свои деньги. 4⭐</t>
  </si>
  <si>
    <t>SMM-08</t>
  </si>
  <si>
    <t>Салтанат Есенова</t>
  </si>
  <si>
    <t>320 000 ₸</t>
  </si>
  <si>
    <t>notion.site/salt-smm</t>
  </si>
  <si>
    <t>Стратегия, бренд, аналитика</t>
  </si>
  <si>
    <t>Айдар: Очень сильный специалист, полностью пересобрала наш бренд в соцсетях. Результаты по продажам заметны. 5⭐</t>
  </si>
  <si>
    <t>Наталья: Понравился стратегический подход и внимание к деталям. Работать приятно. 5⭐</t>
  </si>
  <si>
    <t>Руслан: Дорого, но качество работы реально высокое. 4⭐</t>
  </si>
  <si>
    <t>SMM-09</t>
  </si>
  <si>
    <t>Данияр Ахметов</t>
  </si>
  <si>
    <t>150 000 ₸</t>
  </si>
  <si>
    <t>Курсы + практика</t>
  </si>
  <si>
    <t>drive.google.com/daniyar-smm</t>
  </si>
  <si>
    <t>Таргет, отчёты, аналитика</t>
  </si>
  <si>
    <t>Жандос: Нормальный специалист, задачи выполняет, без сюрпризов. 4⭐</t>
  </si>
  <si>
    <t>Асем: Стало чуть больше заявок, но ожидала большего роста. 4⭐</t>
  </si>
  <si>
    <t>Кирилл: В целом ок для среднего бюджета. 4⭐</t>
  </si>
  <si>
    <t>SMM-10</t>
  </si>
  <si>
    <t>Алина Ким</t>
  </si>
  <si>
    <t>450 000 ₸</t>
  </si>
  <si>
    <t>Высшее + сертификаты</t>
  </si>
  <si>
    <t>instagram.com/alina.brand</t>
  </si>
  <si>
    <t>Бренд-стратегия, воронки, аналитика</t>
  </si>
  <si>
    <t>5.0</t>
  </si>
  <si>
    <t>Компания X: Алина выстроила нам системный маркетинг в соцсетях, продажи выросли почти в два раза за квартал. 5⭐</t>
  </si>
  <si>
    <t>Банк Y: Очень сильный стратег, работает не по шаблону, а под задачу бизнеса. 5⭐</t>
  </si>
  <si>
    <t>Ресторан Z: Дорого, но результат полностью оправдал ожидания. 5⭐</t>
  </si>
  <si>
    <t>MOB-01</t>
  </si>
  <si>
    <t>Акбар Нурланов</t>
  </si>
  <si>
    <t>140 000 ₸</t>
  </si>
  <si>
    <t>instagram.com/akbar.mobile</t>
  </si>
  <si>
    <t>iPhone, стабилизатор, свет</t>
  </si>
  <si>
    <t>Айгерим: Акбар опоздал почти на час и мы переживали, что съёмка сорвётся. Видео получилось нормальным, но с организацией есть проблемы. 2⭐</t>
  </si>
  <si>
    <t>Мартиша: Снял очень креативные Reels для моего бизнеса, одно видео набрало почти миллион просмотров. Клиентов стало заметно больше. 5⭐</t>
  </si>
  <si>
    <t>Антон: У него нет своей камеры, пришлось доплачивать за аренду. В целом нормально, но ожидал большего. 3⭐</t>
  </si>
  <si>
    <t>MOB-02</t>
  </si>
  <si>
    <t>Айша Мухамед</t>
  </si>
  <si>
    <t>instagram.com/aisha.mobile</t>
  </si>
  <si>
    <t>iPhone Pro, свет, монтаж</t>
  </si>
  <si>
    <t>Бекзат: Сделала серию роликов для кафе, страница стала выглядеть намного живее. Работает аккуратно и по ТЗ. 5⭐</t>
  </si>
  <si>
    <t>Лейла: Понравился стиль съёмки и монтаж, но сроки один раз сдвинулись. 4⭐</t>
  </si>
  <si>
    <t>Рустам: В целом доволен, результат по просмотрам хороший. 4⭐</t>
  </si>
  <si>
    <t>MOB-03</t>
  </si>
  <si>
    <t>Тимур Садыков</t>
  </si>
  <si>
    <t>220 000 ₸</t>
  </si>
  <si>
    <t>Курсы + коммерция</t>
  </si>
  <si>
    <t>behance.net/timur.mobile</t>
  </si>
  <si>
    <t>Свет, стаб, монтаж</t>
  </si>
  <si>
    <t>Алия: Снял промо для салона, видео получилось очень динамичным и стильным. Клиенты стали чаще писать в директ. 5⭐</t>
  </si>
  <si>
    <t>Нурлан: Хорошо чувствует кадр и свет, приятно работать. 5⭐</t>
  </si>
  <si>
    <t>Ирина: Цена выше средней, но качество это оправдывает. 4⭐</t>
  </si>
  <si>
    <t>MOB-04</t>
  </si>
  <si>
    <t>Сания Омарова</t>
  </si>
  <si>
    <t>130 000 ₸</t>
  </si>
  <si>
    <t>Курсы</t>
  </si>
  <si>
    <t>instagram.com/saniya.mobile</t>
  </si>
  <si>
    <t>Reels, монтаж, сторис</t>
  </si>
  <si>
    <t>Меруерт: Аккуратно сняла контент для магазина, стало выглядеть профессиональнее. 4⭐</t>
  </si>
  <si>
    <t>Никита: Иногда не хватает креатива, но базу делает хорошо. 3⭐</t>
  </si>
  <si>
    <t>Егор: За свою цену вполне нормальный результат. 4⭐</t>
  </si>
  <si>
    <t>MOB-05</t>
  </si>
  <si>
    <t>Ермек Куаныш</t>
  </si>
  <si>
    <t>70 000 ₸</t>
  </si>
  <si>
    <t>t.me/ermek.mobile</t>
  </si>
  <si>
    <t>Съёмка, базовый монтаж</t>
  </si>
  <si>
    <t>Айгуль: Старательный, но видно, что опыта мало. Много правок. 3⭐</t>
  </si>
  <si>
    <t>Сауле: Для простых задач подойдёт, но для рекламы лучше искать опытнее. 3⭐</t>
  </si>
  <si>
    <t>Дамир: За свою цену нормально, без ожиданий вау-результата. 4⭐</t>
  </si>
  <si>
    <t>MOB-06</t>
  </si>
  <si>
    <t>Мадияр Толеу</t>
  </si>
  <si>
    <t>260 000 ₸</t>
  </si>
  <si>
    <t>notion.site/madiyar-mobile</t>
  </si>
  <si>
    <t>Камера, свет, стаб, звук</t>
  </si>
  <si>
    <t>Жанна: Очень профессионально подошёл к съёмке, сразу предложил идеи и сценарий. 5⭐</t>
  </si>
  <si>
    <t>Тимофей: Видео для бренда получилось сильным, используем в рекламе. 5⭐</t>
  </si>
  <si>
    <t>Айдана: Дорого, но качество полностью оправдывает цену. 4⭐</t>
  </si>
  <si>
    <t>MOB-07</t>
  </si>
  <si>
    <t>Роман Кузьмин</t>
  </si>
  <si>
    <t>180 000 ₸</t>
  </si>
  <si>
    <t>drive.google.com/roman-mobile</t>
  </si>
  <si>
    <t>Свет, звук, монтаж</t>
  </si>
  <si>
    <t>Ольга: Снял серию роликов для онлайн-курса, всё чётко по ТЗ. 5⭐</t>
  </si>
  <si>
    <t>Артём: Немного затянул сроки, но результатом довольны. 4⭐</t>
  </si>
  <si>
    <t>Камилла: В целом хороший специалист за свои деньги. 4⭐</t>
  </si>
  <si>
    <t>MOB-08</t>
  </si>
  <si>
    <t>Дильназ Ермекова</t>
  </si>
  <si>
    <t>110 000 ₸</t>
  </si>
  <si>
    <t>t.me/dilnaz.mobile</t>
  </si>
  <si>
    <t>Сторис, монтаж, свет</t>
  </si>
  <si>
    <t>Айбек: Аккуратно сняла контент для Instagram, стало выглядеть лучше. 4⭐</t>
  </si>
  <si>
    <t>Алия: Иногда не попадает в стиль бренда, приходится править. 3⭐</t>
  </si>
  <si>
    <t>Руслан: Для небольшого бизнеса подходит. 4⭐</t>
  </si>
  <si>
    <t>MOB-09</t>
  </si>
  <si>
    <t>Арман Токаев</t>
  </si>
  <si>
    <t>instagram.com/arman.pro</t>
  </si>
  <si>
    <t>Камера, свет, звук, монтаж</t>
  </si>
  <si>
    <t>Бренд A: Сделал нам мощные рекламные видео, используем во всех кампаниях. 5⭐</t>
  </si>
  <si>
    <t>Бренд B: Очень сильный специалист, чувствует продукт и аудиторию. 5⭐</t>
  </si>
  <si>
    <t>Кафе C: Цена высокая, но результат полностью окупился. 5⭐</t>
  </si>
  <si>
    <t>MOB-10</t>
  </si>
  <si>
    <t>Аружан Сейтова</t>
  </si>
  <si>
    <t>80 000 ₸</t>
  </si>
  <si>
    <t>t.me/aruzhan.mobile</t>
  </si>
  <si>
    <t>4.0</t>
  </si>
  <si>
    <t>Дана: Старательно выполняет задачи, но иногда нужно подробно объяснять. 4⭐</t>
  </si>
  <si>
    <t>Олег: Результат нормальный, без вау-эффекта. 3⭐</t>
  </si>
  <si>
    <t>Илья: Для старта и небольшого бюджета подходит. 4⭐</t>
  </si>
  <si>
    <t>VID-01</t>
  </si>
  <si>
    <t>Видеомонтажёр</t>
  </si>
  <si>
    <t>Никита Павлов</t>
  </si>
  <si>
    <t>behance.net/nikita-edit</t>
  </si>
  <si>
    <t>Premiere, After Effects, звук</t>
  </si>
  <si>
    <t>Алия: Сделал динамичные ролики для соцсетей, смотреть стало интереснее. 5⭐</t>
  </si>
  <si>
    <t>Игорь: Работает быстро, но иногда нужно напоминать про правки. 4⭐</t>
  </si>
  <si>
    <t>Мадина: В целом довольны результатом. 4⭐</t>
  </si>
  <si>
    <t>VID-02</t>
  </si>
  <si>
    <t>Алина Сейт</t>
  </si>
  <si>
    <t>100 000 ₸</t>
  </si>
  <si>
    <t>t.me/alina.edit</t>
  </si>
  <si>
    <t>CapCut, Reels</t>
  </si>
  <si>
    <t>Сауле: Аккуратно смонтировала видео для магазина, стало выглядеть лучше. 4⭐</t>
  </si>
  <si>
    <t>Ерлан: Иногда не хватает креатива, но базу делает нормально. 3⭐</t>
  </si>
  <si>
    <t>Тимур: За свою цену хороший вариант. 4⭐</t>
  </si>
  <si>
    <t>VID-03</t>
  </si>
  <si>
    <t>Денис Орлов</t>
  </si>
  <si>
    <t>300 000 ₸</t>
  </si>
  <si>
    <t>notion.site/denis-edit</t>
  </si>
  <si>
    <t>After Effects, цвет, звук</t>
  </si>
  <si>
    <t>Компания X: Пересобрал нам видео под рекламу, конверсия выросла. 5⭐</t>
  </si>
  <si>
    <t>Мария: Очень сильный монтаж и чувство ритма. 5⭐</t>
  </si>
  <si>
    <t>Олег: Дорого, но качество реально топовое. 4⭐</t>
  </si>
  <si>
    <t>VID-04</t>
  </si>
  <si>
    <t>Айбек Жумабаев</t>
  </si>
  <si>
    <t>drive.google.com/aibek-edit</t>
  </si>
  <si>
    <t>Premiere, субтитры</t>
  </si>
  <si>
    <t>Нурлан: Делает всё по ТЗ, без лишних вопросов. 4⭐</t>
  </si>
  <si>
    <t>Айша: Иногда правки приходится делать несколько раз. 3⭐</t>
  </si>
  <si>
    <t>Кирилл: В целом нормальный специалист. 4⭐</t>
  </si>
  <si>
    <t>VID-05</t>
  </si>
  <si>
    <t>Софья Ким</t>
  </si>
  <si>
    <t>Курсы + кейсы</t>
  </si>
  <si>
    <t>behance.net/sofia-edit</t>
  </si>
  <si>
    <t>Монтаж, звук, цвет</t>
  </si>
  <si>
    <t>Дина: Очень аккуратный и стильный монтаж, видео стали выглядеть дороже. 5⭐</t>
  </si>
  <si>
    <t>Руслан: Работает быстро и без срывов сроков. 5⭐</t>
  </si>
  <si>
    <t>Анна: Цена выше средней, но результатом довольны. 4⭐</t>
  </si>
  <si>
    <t>VID-06</t>
  </si>
  <si>
    <t>Ержан Турсун</t>
  </si>
  <si>
    <t>Высшее + проекты</t>
  </si>
  <si>
    <t>notion.site/erzhan-edit</t>
  </si>
  <si>
    <t>AE, графика, цвет</t>
  </si>
  <si>
    <t>Бренд A: Сделал серию рекламных роликов, используем в больших кампаниях. 5⭐</t>
  </si>
  <si>
    <t>Бренд B: Очень профессиональный подход и сильный монтаж. 5⭐</t>
  </si>
  <si>
    <t>Ивент C: Дорого, но качество полностью оправдано. 5⭐</t>
  </si>
  <si>
    <t>VID-07</t>
  </si>
  <si>
    <t>Карина Бек</t>
  </si>
  <si>
    <t>t.me/karina-edit</t>
  </si>
  <si>
    <t>CapCut, базовый монтаж</t>
  </si>
  <si>
    <t>Айгуль: Старается, но видно, что пока мало опыта. 3⭐</t>
  </si>
  <si>
    <t>Дамир: Для простых видео подойдёт. 3⭐</t>
  </si>
  <si>
    <t>Олеся: За свою цену нормально. 4⭐</t>
  </si>
  <si>
    <t>VID-08</t>
  </si>
  <si>
    <t>Максим Ильин</t>
  </si>
  <si>
    <t>190 000 ₸</t>
  </si>
  <si>
    <t>drive.google.com/max-edit</t>
  </si>
  <si>
    <t>Premiere, звук</t>
  </si>
  <si>
    <t>Ирина: Быстро сделал ролики для рекламы, всё по ТЗ. 5⭐</t>
  </si>
  <si>
    <t>Павел: Иногда предлагает хорошие идеи по монтажу. 4⭐</t>
  </si>
  <si>
    <t>Алина: В целом довольна сотрудничеством. 4⭐</t>
  </si>
  <si>
    <t>VID-09</t>
  </si>
  <si>
    <t>Жанат Сарсен</t>
  </si>
  <si>
    <t>instagram.com/zhanat.edit</t>
  </si>
  <si>
    <t>Reels, субтитры</t>
  </si>
  <si>
    <t>Меруерт: Видео стали смотреться живее и динамичнее. 5⭐</t>
  </si>
  <si>
    <t>Нуржан: Иногда затягивает сроки. 3⭐</t>
  </si>
  <si>
    <t>Роман: За свою цену хороший результат. 4⭐</t>
  </si>
  <si>
    <t>VID-10</t>
  </si>
  <si>
    <t>Илья Смирнов</t>
  </si>
  <si>
    <t>380 000 ₸</t>
  </si>
  <si>
    <t>behance.net/ilya-edit</t>
  </si>
  <si>
    <t>AE, цвет, звук</t>
  </si>
  <si>
    <t>ТВ-проект: Очень сильный монтаж, работали на большом проекте без проблем. 5⭐</t>
  </si>
  <si>
    <t>Бренд X: Качество на уровне продакшна, довольны результатом. 5⭐</t>
  </si>
  <si>
    <t>Фестиваль: Полностью оправдал ожидания и бюджет. 5⭐</t>
  </si>
  <si>
    <t>PH-01</t>
  </si>
  <si>
    <t>Фотограф</t>
  </si>
  <si>
    <t>Айдана Мусина</t>
  </si>
  <si>
    <t>instagram.com/aidana.photo</t>
  </si>
  <si>
    <t>Камера, свет, базовая ретушь</t>
  </si>
  <si>
    <t>Айша: Сняла для нас контент для Instagram, стало выглядеть аккуратнее и светлее. Для небольшого бренда хороший вариант. 4⭐</t>
  </si>
  <si>
    <t>Ерлан: Иногда не угадывает с ракурсами, приходится просить переснять. 3⭐</t>
  </si>
  <si>
    <t>Наташа: За свою цену результат нормальный, без ожиданий вау. 4⭐</t>
  </si>
  <si>
    <t>PH-02</t>
  </si>
  <si>
    <t>Рустам Хасанов</t>
  </si>
  <si>
    <t>behance.net/rustam.photo</t>
  </si>
  <si>
    <t>Камера, студийный свет, ретушь</t>
  </si>
  <si>
    <t>Компания A: Снял каталог для сайта, фотографии выглядят очень профессионально. 5⭐</t>
  </si>
  <si>
    <t>Жанна: Хорошо работает со светом и моделями, результат понравился. 5⭐</t>
  </si>
  <si>
    <t>Олег: Дорого, но качество полностью оправдало цену. 4⭐</t>
  </si>
  <si>
    <t>PH-03</t>
  </si>
  <si>
    <t>Алина Төре</t>
  </si>
  <si>
    <t>instagram.com/alina.photo</t>
  </si>
  <si>
    <t>Репортаж, портрет, ретушь</t>
  </si>
  <si>
    <t>Марат: Сняла корпоратив, фотографии получились живые и не постановочные. 5⭐</t>
  </si>
  <si>
    <t>Инна: Понравилась обработка и цвет, выглядит аккуратно. 5⭐</t>
  </si>
  <si>
    <t>Дамир: Иногда долго ждёшь готовые фото. 4⭐</t>
  </si>
  <si>
    <t>PH-04</t>
  </si>
  <si>
    <t>Нурбек Касым</t>
  </si>
  <si>
    <t>t.me/nurbek.photo</t>
  </si>
  <si>
    <t>Камера, базовая обработка</t>
  </si>
  <si>
    <t>Айгуль: Старательный, но видно, что опыта пока мало. 3⭐</t>
  </si>
  <si>
    <t>Сауле: Для простых съёмок подойдёт, но для рекламы лучше опытнее. 3⭐</t>
  </si>
  <si>
    <t>Руслан: За свою цену нормально. 4⭐</t>
  </si>
  <si>
    <t>PH-05</t>
  </si>
  <si>
    <t>Мария Петрова</t>
  </si>
  <si>
    <t>behance.net/maria.photo</t>
  </si>
  <si>
    <t>Студийный свет, ретушь</t>
  </si>
  <si>
    <t>Алия: Очень аккуратно сняла портреты для сайта, выглядит профессионально. 5⭐</t>
  </si>
  <si>
    <t>Тимур: Работает спокойно и организованно, без лишней суеты. 5⭐</t>
  </si>
  <si>
    <t>Игорь: Хотелось бы быстрее получить готовые фото. 4⭐</t>
  </si>
  <si>
    <t>PH-06</t>
  </si>
  <si>
    <t>Ержан Талгат</t>
  </si>
  <si>
    <t>notion.site/erzhan.photo</t>
  </si>
  <si>
    <t>Камера, свет, дрон</t>
  </si>
  <si>
    <t>Бренд X: Снял рекламную кампанию, используем фото во всех материалах. 5⭐</t>
  </si>
  <si>
    <t>Ивент Y: Очень сильный уровень, чувствует композицию и свет. 5⭐</t>
  </si>
  <si>
    <t>Алия: Цена высокая, но результат стоит того. 5⭐</t>
  </si>
  <si>
    <t>PH-07</t>
  </si>
  <si>
    <t>Камилла Жан</t>
  </si>
  <si>
    <t>instagram.com/kamilla.photo</t>
  </si>
  <si>
    <t>Портрет, контент, свет</t>
  </si>
  <si>
    <t>Жандос: Сняла контент для магазина, стало выглядеть аккуратнее. 4⭐</t>
  </si>
  <si>
    <t>Айша: Иногда нужно подробнее объяснять задачу. 3⭐</t>
  </si>
  <si>
    <t>Павел: В целом хороший результат за свои деньги. 4⭐</t>
  </si>
  <si>
    <t>PH-08</t>
  </si>
  <si>
    <t>Сергей Иванов</t>
  </si>
  <si>
    <t>Костанай</t>
  </si>
  <si>
    <t>behance.net/sergey.photo</t>
  </si>
  <si>
    <t>Репортаж, ретушь</t>
  </si>
  <si>
    <t>Ольга: Снял мероприятие очень живо, поймал много классных моментов. 5⭐</t>
  </si>
  <si>
    <t>Нурлан: Быстро отдал готовые фото, качество понравилось. 5⭐</t>
  </si>
  <si>
    <t>Анна: Немного не хватило постановочных кадров. 4⭐</t>
  </si>
  <si>
    <t>PH-09</t>
  </si>
  <si>
    <t>Дильназ Кайрат</t>
  </si>
  <si>
    <t>Семей</t>
  </si>
  <si>
    <t>t.me/dilnaz.photo</t>
  </si>
  <si>
    <t>Контент, базовая ретушь</t>
  </si>
  <si>
    <t>Айбек: Аккуратно сняла товары для каталога, стало лучше, чем было. 4⭐</t>
  </si>
  <si>
    <t>Асем: Иногда ошибается с цветокоррекцией. 3⭐</t>
  </si>
  <si>
    <t>Руслан: Для небольшого проекта подходит. 4⭐</t>
  </si>
  <si>
    <t>PH-10</t>
  </si>
  <si>
    <t>Артём Соколов</t>
  </si>
  <si>
    <t>420 000 ₸</t>
  </si>
  <si>
    <t>behance.net/artem.photo</t>
  </si>
  <si>
    <t>Студия, реклама, ретушь</t>
  </si>
  <si>
    <t>Бренд A: Работали над большим проектом, результат на уровне агентства. 5⭐</t>
  </si>
  <si>
    <t>Бренд B: Очень сильный профессионал, всё чётко по срокам. 5⭐</t>
  </si>
  <si>
    <t>Журнал: Полностью довольны качеством съёмки. 5⭐</t>
  </si>
  <si>
    <t>MKT-01</t>
  </si>
  <si>
    <t>Маркетолог</t>
  </si>
  <si>
    <t>Лейла Касымова</t>
  </si>
  <si>
    <t>notion.site/leila-mkt</t>
  </si>
  <si>
    <t>Стратегия, медиаплан, аналитика</t>
  </si>
  <si>
    <t>Айдар: Лейла полностью пересобрала нашу стратегию продвижения, стало понятно, куда мы идём и зачем. За два месяца выросло количество заявок и средний чек. 5⭐</t>
  </si>
  <si>
    <t>Мария: Очень структурный подход и понятные отчёты, приятно работать. 5⭐</t>
  </si>
  <si>
    <t>Олег: Цена выше средней, но результат в целом оправдал ожидания. 4⭐</t>
  </si>
  <si>
    <t>MKT-02</t>
  </si>
  <si>
    <t>Дамир Оспанов</t>
  </si>
  <si>
    <t>behance.net/damir-mkt</t>
  </si>
  <si>
    <t>Брендинг, перфоманс, аналитика</t>
  </si>
  <si>
    <t>Компания A: Выстроил систему маркетинга с нуля, продажи выросли почти в полтора раза. 5⭐</t>
  </si>
  <si>
    <t>Сервис B: Понравился подход к цифрам и гипотезам, всё проверяется и считается. 5⭐</t>
  </si>
  <si>
    <t>ИП C: Дорого для малого бизнеса, но эффект есть. 4⭐</t>
  </si>
  <si>
    <t>MKT-03</t>
  </si>
  <si>
    <t>Аружан Тлеубек</t>
  </si>
  <si>
    <t>drive.google.com/aruzhan-mkt</t>
  </si>
  <si>
    <t>Контент, базовая аналитика</t>
  </si>
  <si>
    <t>Сауле: Помогла навести порядок в соцсетях и рекламе, стало аккуратнее и понятнее. 4⭐</t>
  </si>
  <si>
    <t>Нурлан: Иногда не хватает инициативы, но задачи выполняет. 3⭐</t>
  </si>
  <si>
    <t>Тимур: Для старта проекта нормальный специалист. 4⭐</t>
  </si>
  <si>
    <t>MKT-04</t>
  </si>
  <si>
    <t>Руслан Ким</t>
  </si>
  <si>
    <t>notion.site/ruslan-mkt</t>
  </si>
  <si>
    <t>Стратегия, исследования, рост</t>
  </si>
  <si>
    <t>Бренд X: Провёл глубокий анализ рынка и помог найти новые точки роста, очень сильный специалист. 5⭐</t>
  </si>
  <si>
    <t>Бренд Y: Понравился стратегический уровень мышления и чёткие рекомендации. 5⭐</t>
  </si>
  <si>
    <t>Ритейл Z: Работает дорого, но результат полностью оправдал бюджет. 5⭐</t>
  </si>
  <si>
    <t>MKT-05</t>
  </si>
  <si>
    <t>instagram.com/sania.mkt</t>
  </si>
  <si>
    <t>Контент, реклама, отчёты</t>
  </si>
  <si>
    <t>Меруерт: После её работы реклама стала приносить более качественные заявки. 5⭐</t>
  </si>
  <si>
    <t>Айбек: Иногда отчёты хочется видеть подробнее. 4⭐</t>
  </si>
  <si>
    <t>Егор: В целом доволен сотрудничеством. 4⭐</t>
  </si>
  <si>
    <t>MKT-06</t>
  </si>
  <si>
    <t>Ермек Жанатов</t>
  </si>
  <si>
    <t>t.me/ermek.mkt</t>
  </si>
  <si>
    <t>Постинг, базовая аналитика</t>
  </si>
  <si>
    <t>Айгуль: Старательный, но видно, что опыта пока мало и много ошибок. 3⭐</t>
  </si>
  <si>
    <t>Дамир: Для простых задач подойдёт, но стратегию лучше доверять опытным. 3⭐</t>
  </si>
  <si>
    <t>Лейла: За небольшие деньги нормальный результат. 4⭐</t>
  </si>
  <si>
    <t>MKT-07</t>
  </si>
  <si>
    <t>Ольга Петрова</t>
  </si>
  <si>
    <t>310 000 ₸</t>
  </si>
  <si>
    <t>notion.site/olga-mkt</t>
  </si>
  <si>
    <t>Перфоманс, воронки, аналитика</t>
  </si>
  <si>
    <t>Стартап: Помогла выстроить воронку продаж и понять, где мы теряем клиентов. 5⭐</t>
  </si>
  <si>
    <t>Маркетплейс: Очень сильная в аналитике и цифрах. 5⭐</t>
  </si>
  <si>
    <t>Салон: Иногда долго согласовываем решения. 4⭐</t>
  </si>
  <si>
    <t>MKT-08</t>
  </si>
  <si>
    <t>Нуржан Алимов</t>
  </si>
  <si>
    <t>drive.google.com/nurzhan-mkt</t>
  </si>
  <si>
    <t>Аналитика, гипотезы, отчёты</t>
  </si>
  <si>
    <t>Алия: Помог настроить рекламу и отчёты, стало понятнее, что работает. 4⭐</t>
  </si>
  <si>
    <t>Руслан: Иногда не хватает креативных идей. 3⭐</t>
  </si>
  <si>
    <t>MKT-09</t>
  </si>
  <si>
    <t>Айдана Садыкова</t>
  </si>
  <si>
    <t>behance.net/aidana-mkt</t>
  </si>
  <si>
    <t>Брендинг, стратегия, рост</t>
  </si>
  <si>
    <t>Бренд A: Полностью обновила позиционирование и коммуникацию, стало намного сильнее. 5⭐</t>
  </si>
  <si>
    <t>Бренд B: Очень опытный и системный маркетолог. 5⭐</t>
  </si>
  <si>
    <t>Ресторан C: Цена высокая, но результат заметен. 4⭐</t>
  </si>
  <si>
    <t>MKT-10</t>
  </si>
  <si>
    <t>Талгат Рахимов</t>
  </si>
  <si>
    <t>drive.google.com/talgat-mkt</t>
  </si>
  <si>
    <t>Стратегия, отчёты, реклама</t>
  </si>
  <si>
    <t>Магазин: Помог увеличить поток клиентов из рекламы, стало стабильнее. 5⭐</t>
  </si>
  <si>
    <t>Сервис: Иногда хочется более детальных рекомендаций. 4⭐</t>
  </si>
  <si>
    <t>Стартап: В целом довольны работой. 4⭐</t>
  </si>
  <si>
    <t>PY-01</t>
  </si>
  <si>
    <t>Программист Python</t>
  </si>
  <si>
    <t>Данияр Садыков</t>
  </si>
  <si>
    <t>github.com/daniyar-py</t>
  </si>
  <si>
    <t>Backend, FastAPI, SQL</t>
  </si>
  <si>
    <t>ИП: Быстро сделал нужный сервис для автоматизации, всё работает стабильно. 5⭐</t>
  </si>
  <si>
    <t>Стартап: Понравилось, что предлагает решения, а не просто выполняет ТЗ. 5⭐</t>
  </si>
  <si>
    <t>Олег: Иногда долго отвечает в чате, но по качеству вопросов нет. 4⭐</t>
  </si>
  <si>
    <t>PY-02</t>
  </si>
  <si>
    <t>Никита Орлов</t>
  </si>
  <si>
    <t>520 000 ₸</t>
  </si>
  <si>
    <t>github.com/nikita-py</t>
  </si>
  <si>
    <t>Django, архитектура, DevOps</t>
  </si>
  <si>
    <t>Компания A: Выстроил архитектуру сервиса, система работает стабильно под нагрузкой. 5⭐</t>
  </si>
  <si>
    <t>Банк B: Очень сильный инженер, всё по стандартам и документации. 5⭐</t>
  </si>
  <si>
    <t>Сервис C: Дорого, но уровень соответствует цене. 4⭐</t>
  </si>
  <si>
    <t>PY-03</t>
  </si>
  <si>
    <t>Аружан Касым</t>
  </si>
  <si>
    <t>github.com/aruzhan-py</t>
  </si>
  <si>
    <t>Скрипты, Pandas, парсинг</t>
  </si>
  <si>
    <t>Айдар: Сделала нужный скрипт для обработки данных, работает как нужно. 4⭐</t>
  </si>
  <si>
    <t>Мария: Иногда путается в требованиях, приходится уточнять. 3⭐</t>
  </si>
  <si>
    <t>Тимур: Для простых задач подойдёт. 4⭐</t>
  </si>
  <si>
    <t>PY-04</t>
  </si>
  <si>
    <t>Ержан Тлеуов</t>
  </si>
  <si>
    <t>github.com/erzhan-py</t>
  </si>
  <si>
    <t>API, Celery, Redis</t>
  </si>
  <si>
    <t>Стартап: Быстро внедрил API и помог оптимизировать процессы. 5⭐</t>
  </si>
  <si>
    <t>Магазин: Хорошо разбирается в бэкенде и инфраструктуре. 5⭐</t>
  </si>
  <si>
    <t>Игорь: Иногда перегружает решение, но в целом результат отличный. 4⭐</t>
  </si>
  <si>
    <t>PY-05</t>
  </si>
  <si>
    <t>650 000 ₸</t>
  </si>
  <si>
    <t>github.com/ruslan-py</t>
  </si>
  <si>
    <t>Архитектура, ML, масштабирование</t>
  </si>
  <si>
    <t>Корпорация: Решил сложную задачу с данными и нагрузкой, уровень очень высокий. 5⭐</t>
  </si>
  <si>
    <t>Финтех: Работать с ним комфортно, всё объясняет и документирует. 5⭐</t>
  </si>
  <si>
    <t>Ритейл: Полностью довольны результатом. 5⭐</t>
  </si>
  <si>
    <t>PY-06</t>
  </si>
  <si>
    <t>github.com/diana-py</t>
  </si>
  <si>
    <t>Flask, SQL, API</t>
  </si>
  <si>
    <t>ИП: Сделала нужный сервис для внутреннего учёта, всё работает. 4⭐</t>
  </si>
  <si>
    <t>Алия: Иногда нужно подробнее объяснять задачу. 3⭐</t>
  </si>
  <si>
    <t>Нурлан: В целом нормальный специалист за свои деньги. 4⭐</t>
  </si>
  <si>
    <t>PY-07</t>
  </si>
  <si>
    <t>Тимур Беков</t>
  </si>
  <si>
    <t>340 000 ₸</t>
  </si>
  <si>
    <t>github.com/timur-py</t>
  </si>
  <si>
    <t>ETL, Airflow, автоматизация</t>
  </si>
  <si>
    <t>Стартап: Помог автоматизировать сбор данных, сэкономили много времени. 5⭐</t>
  </si>
  <si>
    <t>Медиа: Хорошо разбирается в пайплайнах данных. 5⭐</t>
  </si>
  <si>
    <t>Егор: Иногда затягивает сроки. 4⭐</t>
  </si>
  <si>
    <t>PY-08</t>
  </si>
  <si>
    <t>Ольга Смирнова</t>
  </si>
  <si>
    <t>580 000 ₸</t>
  </si>
  <si>
    <t>github.com/olga-py</t>
  </si>
  <si>
    <t>Data, API, интеграции</t>
  </si>
  <si>
    <t>Платформа: Очень сильный инженер, помогла стабилизировать систему. 5⭐</t>
  </si>
  <si>
    <t>Банк: Понравился подход к качеству и тестированию. 5⭐</t>
  </si>
  <si>
    <t>Маркетплейс: Дорого, но уровень топовый. 4⭐</t>
  </si>
  <si>
    <t>PY-09</t>
  </si>
  <si>
    <t>github.com/nurzhan-py</t>
  </si>
  <si>
    <t>Боты, парсеры, API</t>
  </si>
  <si>
    <t>Айша: Сделал бота для автоматизации заявок, работает стабильно. 4⭐</t>
  </si>
  <si>
    <t>Руслан: Иногда не хватает документации. 3⭐</t>
  </si>
  <si>
    <t>Илья: В целом хороший специалист за свою цену. 4⭐</t>
  </si>
  <si>
    <t>PY-10</t>
  </si>
  <si>
    <t>460 000 ₸</t>
  </si>
  <si>
    <t>github.com/arman-py</t>
  </si>
  <si>
    <t>Microservices, AWS, API</t>
  </si>
  <si>
    <t>Финтех: Помог оптимизировать сервис и снизить ошибки. 5⭐</t>
  </si>
  <si>
    <t>E-commerce: Хорошо понимает бизнес-задачи, а не только код. 5⭐</t>
  </si>
  <si>
    <t>Олег: Иногда решения сложнее, чем ожидали, но качество отличное. 4⭐</t>
  </si>
  <si>
    <t>QA-01</t>
  </si>
  <si>
    <t>Тестировщик ПО (QA)</t>
  </si>
  <si>
    <t>notion.site/aibek-qa</t>
  </si>
  <si>
    <t>Test cases, Jira, регрессия</t>
  </si>
  <si>
    <t>Стартап: Нашёл критичные баги перед релизом, благодаря этому избежали проблем с пользователями. 5⭐</t>
  </si>
  <si>
    <t>Олег: Отчёты понятные, но иногда хотелось быстрее обратной связи. 4⭐</t>
  </si>
  <si>
    <t>Анна: В целом довольны сотрудничеством. 4⭐</t>
  </si>
  <si>
    <t>QA-02</t>
  </si>
  <si>
    <t>Мария Фролова</t>
  </si>
  <si>
    <t>360 000 ₸</t>
  </si>
  <si>
    <t>notion.site/maria-qa</t>
  </si>
  <si>
    <t>Automation, Cypress, API</t>
  </si>
  <si>
    <t>Банк: Выстроила процесс автотестов, качество релизов заметно выросло. 5⭐</t>
  </si>
  <si>
    <t>Сервис: Очень системный подход и хорошая документация. 5⭐</t>
  </si>
  <si>
    <t>Ритейл: Дорого, но результат оправдан. 4⭐</t>
  </si>
  <si>
    <t>QA-03</t>
  </si>
  <si>
    <t>t.me/nurzhan-qa</t>
  </si>
  <si>
    <t>Manual, чек-листы</t>
  </si>
  <si>
    <t>Айгуль: Для простых проверок подходит, аккуратный. 4⭐</t>
  </si>
  <si>
    <t>Дамир: Иногда пропускает мелкие баги. 3⭐</t>
  </si>
  <si>
    <t>Лейла: За свою цену нормально. 4⭐</t>
  </si>
  <si>
    <t>QA-04</t>
  </si>
  <si>
    <t>notion.site/ilya-qa</t>
  </si>
  <si>
    <t>Automation, нагрузка, API</t>
  </si>
  <si>
    <t>Платформа: Сильно повысил стабильность релизов, багов стало заметно меньше. 5⭐</t>
  </si>
  <si>
    <t>Финтех: Очень глубокая экспертиза в тестировании. 5⭐</t>
  </si>
  <si>
    <t>E-com: Полностью довольны уровнем работы. 5⭐</t>
  </si>
  <si>
    <t>QA-05</t>
  </si>
  <si>
    <t>drive.google.com/aruzhan-qa</t>
  </si>
  <si>
    <t>Jira, регрессия, отчёты</t>
  </si>
  <si>
    <t>ИП: Помогла выстроить процесс тестирования, стало спокойнее выпускать обновления. 5⭐</t>
  </si>
  <si>
    <t>Маркетплейс: Иногда затягивает согласование правок. 4⭐</t>
  </si>
  <si>
    <t>Олег: В целом отличный специалист. 4⭐</t>
  </si>
  <si>
    <t>QA-06</t>
  </si>
  <si>
    <t>t.me/ermek-qa</t>
  </si>
  <si>
    <t>Smoke, чек-листы</t>
  </si>
  <si>
    <t>Айша: Старательный, но пока мало опыта и уверенности. 3⭐</t>
  </si>
  <si>
    <t>Руслан: Для простых задач подойдёт. 3⭐</t>
  </si>
  <si>
    <t>Инга: За небольшие деньги нормально. 4⭐</t>
  </si>
  <si>
    <t>QA-07</t>
  </si>
  <si>
    <t>notion.site/sofia-qa</t>
  </si>
  <si>
    <t>Automation, отчёты, API</t>
  </si>
  <si>
    <t>Стартап: Настроила автотесты и сократила количество багов в проде. 5⭐</t>
  </si>
  <si>
    <t>Команда: Удобно работать, всё объясняет. 5⭐</t>
  </si>
  <si>
    <t>Егор: Иногда слишком дотошная, но это скорее плюс. 4⭐</t>
  </si>
  <si>
    <t>QA-08</t>
  </si>
  <si>
    <t>410 000 ₸</t>
  </si>
  <si>
    <t>notion.site/denis-qa</t>
  </si>
  <si>
    <t>API, нагрузка, автотесты</t>
  </si>
  <si>
    <t>Банк: Очень сильный специалист, качество релизов выросло. 5⭐</t>
  </si>
  <si>
    <t>Сервис: Понравился системный подход. 5⭐</t>
  </si>
  <si>
    <t>Мария: Цена высокая, но уровень соответствующий. 4⭐</t>
  </si>
  <si>
    <t>QA-09</t>
  </si>
  <si>
    <t>t.me/aidana-qa</t>
  </si>
  <si>
    <t>Manual, баг-репорты</t>
  </si>
  <si>
    <t>Айдар: Аккуратно проверяет фичи, отчёты понятные. 4⭐</t>
  </si>
  <si>
    <t>Сауле: Иногда нужно больше инициативы. 3⭐</t>
  </si>
  <si>
    <t>Павел: В целом нормально для небольшого проекта. 4⭐</t>
  </si>
  <si>
    <t>QA-10</t>
  </si>
  <si>
    <t>290 000 ₸</t>
  </si>
  <si>
    <t>drive.google.com/talgat-qa</t>
  </si>
  <si>
    <t>Regression, UI, отчёты</t>
  </si>
  <si>
    <t>Магазин: Помог стабилизировать релизы, багов стало меньше. 5⭐</t>
  </si>
  <si>
    <t>Сервис: Иногда долго готовит отчёты. 4⭐</t>
  </si>
  <si>
    <t>Стартап: В целом довольны сотрудничеством. 4⭐</t>
  </si>
  <si>
    <t>DA-01</t>
  </si>
  <si>
    <t>Дата-аналитик</t>
  </si>
  <si>
    <t>github.com/alina-da</t>
  </si>
  <si>
    <t>SQL, Python, BI</t>
  </si>
  <si>
    <t>Ритейл: Нашла точки роста по данным, помогла увеличить выручку. 5⭐</t>
  </si>
  <si>
    <t>Финтех: Хорошо объясняет выводы бизнесу. 5⭐</t>
  </si>
  <si>
    <t>Олег: Иногда слишком углубляется в детали. 4⭐</t>
  </si>
  <si>
    <t>DA-02</t>
  </si>
  <si>
    <t>Нурлан Токтар</t>
  </si>
  <si>
    <t>github.com/nurlan-da</t>
  </si>
  <si>
    <t>ETL, DWH, BI</t>
  </si>
  <si>
    <t>Банк: Выстроил отчётность для руководства, стало проще принимать решения. 5⭐</t>
  </si>
  <si>
    <t>Маркетплейс: Очень сильный специалист по данным. 5⭐</t>
  </si>
  <si>
    <t>Сервис: Дорого, но качество отличное. 4⭐</t>
  </si>
  <si>
    <t>DA-03</t>
  </si>
  <si>
    <t>github.com/aisha-da</t>
  </si>
  <si>
    <t>Pandas, SQL</t>
  </si>
  <si>
    <t>Айдар: Помогла собрать отчёт по продажам, стало нагляднее. 4⭐</t>
  </si>
  <si>
    <t>Мария: Иногда путается в требованиях. 3⭐</t>
  </si>
  <si>
    <t>DA-04</t>
  </si>
  <si>
    <t>github.com/denis-da</t>
  </si>
  <si>
    <t>ML, BI, Python</t>
  </si>
  <si>
    <t>Маркетинг: Нашёл неэффективные каналы, оптимизировали бюджет. 5⭐</t>
  </si>
  <si>
    <t>Ритейл: Очень полезные инсайты по данным. 5⭐</t>
  </si>
  <si>
    <t>Игорь: Иногда сложно объясняет выводы. 4⭐</t>
  </si>
  <si>
    <t>DA-05</t>
  </si>
  <si>
    <t>github.com/sania-da</t>
  </si>
  <si>
    <t>A/B, SQL, BI</t>
  </si>
  <si>
    <t>Продукт: Провела A/B-тесты, помогла выбрать лучшую гипотезу. 5⭐</t>
  </si>
  <si>
    <t>Команда: Удобно работать, всё структурировано. 5⭐</t>
  </si>
  <si>
    <t>Нурлан: Хотелось бы быстрее получать отчёты. 4⭐</t>
  </si>
  <si>
    <t>DA-06</t>
  </si>
  <si>
    <t>github.com/ermek-da</t>
  </si>
  <si>
    <t>SQL, Excel</t>
  </si>
  <si>
    <t>Айгуль: Старательный, но пока мало опыта с большими данными. 3⭐</t>
  </si>
  <si>
    <t>Дамир: Для простых отчётов подойдёт. 3⭐</t>
  </si>
  <si>
    <t>DA-07</t>
  </si>
  <si>
    <t>github.com/olga-da</t>
  </si>
  <si>
    <t>DWH, BI, Python</t>
  </si>
  <si>
    <t>Финтех: Выстроила аналитику для руководства, решения стали приниматься быстрее. 5⭐</t>
  </si>
  <si>
    <t>E-com: Очень сильный уровень экспертизы. 5⭐</t>
  </si>
  <si>
    <t>Медиа: Цена высокая, но результат того стоит. 5⭐</t>
  </si>
  <si>
    <t>DA-08</t>
  </si>
  <si>
    <t>github.com/timur-da</t>
  </si>
  <si>
    <t>SQL, визуализация</t>
  </si>
  <si>
    <t>Маркетплейс: Помог разобраться в воронке продаж. 5⭐</t>
  </si>
  <si>
    <t>Сервис: Иногда нужно больше пояснений к отчётам. 4⭐</t>
  </si>
  <si>
    <t>Олег: В целом доволен. 4⭐</t>
  </si>
  <si>
    <t>DA-09</t>
  </si>
  <si>
    <t>240 000 ₸</t>
  </si>
  <si>
    <t>github.com/dilnaz-da</t>
  </si>
  <si>
    <t>Python, BI</t>
  </si>
  <si>
    <t>Айбек: Сделала отчёты для отдела продаж, стало удобнее анализировать. 4⭐</t>
  </si>
  <si>
    <t>Сауле: Иногда не хватает инициативы. 3⭐</t>
  </si>
  <si>
    <t>Никита: За свою цену хороший результат. 4⭐</t>
  </si>
  <si>
    <t>DA-10</t>
  </si>
  <si>
    <t>500 000 ₸</t>
  </si>
  <si>
    <t>github.com/arman-da</t>
  </si>
  <si>
    <t>ML, BI, SQL</t>
  </si>
  <si>
    <t>Продукт: Нашёл точки роста по данным, помог увеличить метрики. 5⭐</t>
  </si>
  <si>
    <t>Банк: Очень сильный аналитик, всё по цифрам. 5⭐</t>
  </si>
  <si>
    <t>Маркетинг: Дорого, но результат впечатляющий. 5⭐</t>
  </si>
  <si>
    <t>BA-01</t>
  </si>
  <si>
    <t>Бизнес-аналитик</t>
  </si>
  <si>
    <t>Данияр Исмаил</t>
  </si>
  <si>
    <t>notion.site/daniyar-ba</t>
  </si>
  <si>
    <t>BRD, BPMN, SQL</t>
  </si>
  <si>
    <t>Сервис: Хорошо описал требования, разработке стало проще работать. 5⭐</t>
  </si>
  <si>
    <t>Команда: Иногда слишком подробно, но это помогает избежать ошибок. 4⭐</t>
  </si>
  <si>
    <t>Олег: В целом довольны. 4⭐</t>
  </si>
  <si>
    <t>BA-02</t>
  </si>
  <si>
    <t>Ирина Литвинова</t>
  </si>
  <si>
    <t>notion.site/irina-ba</t>
  </si>
  <si>
    <t>Stakeholders, BPMN</t>
  </si>
  <si>
    <t>Банк: Выстроила процесс сбора требований, проекты стали идти быстрее. 5⭐</t>
  </si>
  <si>
    <t>Финтех: Очень системный и опытный аналитик. 5⭐</t>
  </si>
  <si>
    <t>Ритейл: Дорого, но уровень высокий. 4⭐</t>
  </si>
  <si>
    <t>BA-03</t>
  </si>
  <si>
    <t>drive.google.com/aruzhan-ba</t>
  </si>
  <si>
    <t>UML, документация</t>
  </si>
  <si>
    <t>Айдар: Помогла структурировать требования к проекту. 4⭐</t>
  </si>
  <si>
    <t>Мария: Иногда не хватает уверенности при общении с заказчиком. 3⭐</t>
  </si>
  <si>
    <t>Тимур: Для небольшого проекта подходит. 4⭐</t>
  </si>
  <si>
    <t>BA-04</t>
  </si>
  <si>
    <t>notion.site/sergey-ba</t>
  </si>
  <si>
    <t>Enterprise, процессы</t>
  </si>
  <si>
    <t>Корп: Провёл глубокий анализ процессов и предложил реальные улучшения. 5⭐</t>
  </si>
  <si>
    <t>Финтех: Очень сильная экспертиза и опыт. 5⭐</t>
  </si>
  <si>
    <t>E-com: Полностью довольны сотрудничеством. 5⭐</t>
  </si>
  <si>
    <t>BA-05</t>
  </si>
  <si>
    <t>Меруерт Садыкова</t>
  </si>
  <si>
    <t>behance.net/meruert-ba</t>
  </si>
  <si>
    <t>BRD, UAT</t>
  </si>
  <si>
    <t>Продукт: Помогла связать бизнес и разработку, стало меньше недопонимания. 5⭐</t>
  </si>
  <si>
    <t>Команда: Удобно работать и общаться. 5⭐</t>
  </si>
  <si>
    <t>Олег: Иногда долго согласовываем документы. 4⭐</t>
  </si>
  <si>
    <t>BA-06</t>
  </si>
  <si>
    <t>t.me/ermek-ba</t>
  </si>
  <si>
    <t>Сбор требований</t>
  </si>
  <si>
    <t>Айша: Старательный, но пока мало опыта в сложных проектах. 3⭐</t>
  </si>
  <si>
    <t>Инга: За свою цену нормально. 4⭐</t>
  </si>
  <si>
    <t>BA-07</t>
  </si>
  <si>
    <t>Павел Кузнецов</t>
  </si>
  <si>
    <t>480 000 ₸</t>
  </si>
  <si>
    <t>notion.site/pavel-ba</t>
  </si>
  <si>
    <t>BPMN, SQL, UAT</t>
  </si>
  <si>
    <t>Банк: Помог оптимизировать процессы и сократить сроки проектов. 5⭐</t>
  </si>
  <si>
    <t>Сервис: Очень чёткая документация и коммуникация. 5⭐</t>
  </si>
  <si>
    <t>Маркетплейс: Цена высокая, но качество отличное. 4⭐</t>
  </si>
  <si>
    <t>BA-08</t>
  </si>
  <si>
    <t>330 000 ₸</t>
  </si>
  <si>
    <t>drive.google.com/aidana-ba</t>
  </si>
  <si>
    <t>Продукт: Хорошо описала требования и помогла команде разобраться. 5⭐</t>
  </si>
  <si>
    <t>Команда: Иногда нужно больше вовлечённости в детали. 4⭐</t>
  </si>
  <si>
    <t>BA-09</t>
  </si>
  <si>
    <t>t.me/nurzhan-ba</t>
  </si>
  <si>
    <t>BPMN, SQL</t>
  </si>
  <si>
    <t>Сервис: Помог структурировать задачи для разработки. 4⭐</t>
  </si>
  <si>
    <t>Мария: Иногда не хватает опыта в сложных кейсах. 3⭐</t>
  </si>
  <si>
    <t>BA-10</t>
  </si>
  <si>
    <t>620 000 ₸</t>
  </si>
  <si>
    <t>notion.site/arman-ba</t>
  </si>
  <si>
    <t>Стратегия, процессы</t>
  </si>
  <si>
    <t>Корп: Помог выстроить стратегию развития продукта на основе данных. 5⭐</t>
  </si>
  <si>
    <t>Финтех: Очень сильный аналитик с бизнес-мышлением. 5⭐</t>
  </si>
  <si>
    <t>Ритейл: Полностью оправдал ожидания. 5⭐</t>
  </si>
  <si>
    <t>MUA-01</t>
  </si>
  <si>
    <t>Айдана Касымова</t>
  </si>
  <si>
    <t>instagram.com/aidana.mua</t>
  </si>
  <si>
    <t>Кисти, косметика, укладки</t>
  </si>
  <si>
    <t>Айша: Макияж получился аккуратным и естественным. 4⭐</t>
  </si>
  <si>
    <t>Ерлан: Иногда долго собирается. 3⭐</t>
  </si>
  <si>
    <t>Наташа: За свою цену нормально. 4⭐</t>
  </si>
  <si>
    <t>MUA-02</t>
  </si>
  <si>
    <t>instagram.com/madina.mua</t>
  </si>
  <si>
    <t>Проф.косметика, укладки</t>
  </si>
  <si>
    <t>Невеста: Образ получился именно таким, как хотела. 5⭐</t>
  </si>
  <si>
    <t>Фотограф: Хорошо работает с кожей и светом. 5⭐</t>
  </si>
  <si>
    <t>Айгуль: Дорого, но результат отличный. 4⭐</t>
  </si>
  <si>
    <t>MUA-03</t>
  </si>
  <si>
    <t>instagram.com/sania.mua</t>
  </si>
  <si>
    <t>Кисти, стойкий макияж</t>
  </si>
  <si>
    <t>Меруерт: Макияж держался весь вечер. 5⭐</t>
  </si>
  <si>
    <t>Айбек: Иногда перебарщивает с яркостью. 4⭐</t>
  </si>
  <si>
    <t>Егор: В целом доволен. 4⭐</t>
  </si>
  <si>
    <t>MUA-04</t>
  </si>
  <si>
    <t>t.me/aruzhan.mua</t>
  </si>
  <si>
    <t>Базовый набор</t>
  </si>
  <si>
    <t>Айгуль: Старательная, но пока мало опыта. 3⭐</t>
  </si>
  <si>
    <t>Сауле: Для простых образов подойдёт. 3⭐</t>
  </si>
  <si>
    <t>Дамир: За свою цену нормально. 4⭐</t>
  </si>
  <si>
    <t>MUA-05</t>
  </si>
  <si>
    <t>Жанна Ким</t>
  </si>
  <si>
    <t>instagram.com/zhanna.mua</t>
  </si>
  <si>
    <t>Премиум косметика, укладки</t>
  </si>
  <si>
    <t>Невеста: Лучший образ, который у меня был. 5⭐</t>
  </si>
  <si>
    <t>Съёмка: Макияж идеально лёг под свет. 5⭐</t>
  </si>
  <si>
    <t>Клиент: Цена высокая, но качество топ. 5⭐</t>
  </si>
  <si>
    <t>MUA-06</t>
  </si>
  <si>
    <t>instagram.com/diana.mua</t>
  </si>
  <si>
    <t>Повседневный макияж</t>
  </si>
  <si>
    <t>Айша: Аккуратно и быстро сделала макияж. 4⭐</t>
  </si>
  <si>
    <t>Руслан: Хотелось бы больше стойкости. 3⭐</t>
  </si>
  <si>
    <t>Лейла: В целом довольна. 4⭐</t>
  </si>
  <si>
    <t>MUA-07</t>
  </si>
  <si>
    <t>instagram.com/olga.mua</t>
  </si>
  <si>
    <t>Свадебные образы, укладки</t>
  </si>
  <si>
    <t>Невеста: Очень внимательная к деталям. 5⭐</t>
  </si>
  <si>
    <t>Фотограф: Отлично работает с текстурами. 5⭐</t>
  </si>
  <si>
    <t>Клиент: Иногда долго согласовываем образ. 4⭐</t>
  </si>
  <si>
    <t>MUA-08</t>
  </si>
  <si>
    <t>Талдыкорган</t>
  </si>
  <si>
    <t>t.me/kamilla.mua</t>
  </si>
  <si>
    <t>Базовый макияж</t>
  </si>
  <si>
    <t>Айбек: Сделала аккуратно, без перебора. 4⭐</t>
  </si>
  <si>
    <t>Асем: Иногда не угадывает с оттенками. 3⭐</t>
  </si>
  <si>
    <t>Руслан: Для своей цены нормально. 4⭐</t>
  </si>
  <si>
    <t>MUA-09</t>
  </si>
  <si>
    <t>Светлана Ильина</t>
  </si>
  <si>
    <t>instagram.com/svetlana.mua</t>
  </si>
  <si>
    <t>Проф.косметика, сложные образы</t>
  </si>
  <si>
    <t>Съёмка: Образ получился идеальным для камеры. 5⭐</t>
  </si>
  <si>
    <t>Невеста: Макияж держался весь день. 5⭐</t>
  </si>
  <si>
    <t>Клиент: Полностью довольна результатом. 5⭐</t>
  </si>
  <si>
    <t>MUA-10</t>
  </si>
  <si>
    <t>Алина Сарсенова</t>
  </si>
  <si>
    <t>210 000 ₸</t>
  </si>
  <si>
    <t>instagram.com/alina.mua</t>
  </si>
  <si>
    <t>Вечерний макияж, укладки</t>
  </si>
  <si>
    <t>Айдана: Очень аккуратная работа и приятное общение. 5⭐</t>
  </si>
  <si>
    <t>Жанар: Иногда долго готовится. 4⭐</t>
  </si>
  <si>
    <t>Олег: В целом хороший результат. 4⭐</t>
  </si>
  <si>
    <t>MN-01</t>
  </si>
  <si>
    <t>Мастер маникюра</t>
  </si>
  <si>
    <t>Алия Турсунова</t>
  </si>
  <si>
    <t>instagram.com/aliya.nails</t>
  </si>
  <si>
    <t>Аппарат, гель-лаки</t>
  </si>
  <si>
    <t>Айша: Маникюр аккуратный, держался почти три недели. 4⭐</t>
  </si>
  <si>
    <t>Ерлан: Иногда долго делает. 3⭐</t>
  </si>
  <si>
    <t>MN-02</t>
  </si>
  <si>
    <t>Жанар Ким</t>
  </si>
  <si>
    <t>instagram.com/zhanar.nails</t>
  </si>
  <si>
    <t>Аппарат, дизайн</t>
  </si>
  <si>
    <t>Клиент: Очень аккуратная работа и стерильность. 5⭐</t>
  </si>
  <si>
    <t>Меруерт: Дизайн получился лучше, чем ожидала. 5⭐</t>
  </si>
  <si>
    <t>Айгуль: Дорого, но качество отличное. 4⭐</t>
  </si>
  <si>
    <t>MN-03</t>
  </si>
  <si>
    <t>instagram.com/sania.nails</t>
  </si>
  <si>
    <t>Гель, укрепление</t>
  </si>
  <si>
    <t>Айбек: Ногти держались долго, без сколов. 5⭐</t>
  </si>
  <si>
    <t>Алия: Иногда запись переносится. 4⭐</t>
  </si>
  <si>
    <t>Руслан: В целом доволен. 4⭐</t>
  </si>
  <si>
    <t>MN-04</t>
  </si>
  <si>
    <t>t.me/aruzhan.nails</t>
  </si>
  <si>
    <t>Айгуль: Старательная, но пока не очень быстро работает. 3⭐</t>
  </si>
  <si>
    <t>Сауле: Для простого маникюра подойдёт. 3⭐</t>
  </si>
  <si>
    <t>MN-05</t>
  </si>
  <si>
    <t>instagram.com/olga.nails</t>
  </si>
  <si>
    <t>Премиум материалы, дизайн</t>
  </si>
  <si>
    <t>Клиент: Лучший маникюр, который у меня был. 5⭐</t>
  </si>
  <si>
    <t>Фотосессия: Ногти выглядели идеально в кадре. 5⭐</t>
  </si>
  <si>
    <t>Постоянный клиент: Цена высокая, но качество топ. 5⭐</t>
  </si>
  <si>
    <t>MN-06</t>
  </si>
  <si>
    <t>instagram.com/diana.nails</t>
  </si>
  <si>
    <t>Гель-лак, аппарат</t>
  </si>
  <si>
    <t>Айша: Аккуратно и без порезов. 4⭐</t>
  </si>
  <si>
    <t>Руслан: Иногда дизайн получается не так, как ожидал. 3⭐</t>
  </si>
  <si>
    <t>MN-07</t>
  </si>
  <si>
    <t>t.me/kamilla.nails</t>
  </si>
  <si>
    <t>Базовый маникюр</t>
  </si>
  <si>
    <t>Айбек: Делает аккуратно, но медленно. 4⭐</t>
  </si>
  <si>
    <t>Асем: Иногда не хватает идей по дизайну. 3⭐</t>
  </si>
  <si>
    <t>Руслан: Для своей цены хорошо. 4⭐</t>
  </si>
  <si>
    <t>MN-08</t>
  </si>
  <si>
    <t>instagram.com/svetlana.nails</t>
  </si>
  <si>
    <t>Сложный дизайн, укрепление</t>
  </si>
  <si>
    <t>Клиент: Идеальная форма и покрытие держится очень долго. 5⭐</t>
  </si>
  <si>
    <t>Салон: Очень высокий уровень сервиса. 5⭐</t>
  </si>
  <si>
    <t>Постоянный клиент: Полностью довольна. 5⭐</t>
  </si>
  <si>
    <t>MN-09</t>
  </si>
  <si>
    <t>instagram.com/alina.nails</t>
  </si>
  <si>
    <t>Дизайн, гель-лак</t>
  </si>
  <si>
    <t>Айдана: Красивый дизайн и аккуратная работа. 5⭐</t>
  </si>
  <si>
    <t>Жанар: Иногда сложно записаться. 4⭐</t>
  </si>
  <si>
    <t>Олег: В целом отличный мастер. 4⭐</t>
  </si>
  <si>
    <t>MN-10</t>
  </si>
  <si>
    <t>instagram.com/nurzhan.nails</t>
  </si>
  <si>
    <t>Аппарат, укрепление</t>
  </si>
  <si>
    <t>Клиент: Очень аккуратно и чисто работает. 5⭐</t>
  </si>
  <si>
    <t>Меруерт: Ногти держатся долго без сколов. 5⭐</t>
  </si>
  <si>
    <t>Айгуль: Хотелось бы больше вариантов дизайна. 4⭐</t>
  </si>
  <si>
    <t>BAR-01</t>
  </si>
  <si>
    <t>Бариста</t>
  </si>
  <si>
    <t>Курсы бариста</t>
  </si>
  <si>
    <t>instagram.com/aidana.barista</t>
  </si>
  <si>
    <t>Эспрессо-машина, латте-арт</t>
  </si>
  <si>
    <t>Айша: Делает аккуратный капучино и красиво рисует сердечки, гости стали чаще заказывать кофе. 4⭐</t>
  </si>
  <si>
    <t>Ерлан: Иногда путается в заказах в часы пик. 3⭐</t>
  </si>
  <si>
    <t>Наташа: Для своей цены и опыта работает хорошо. 4⭐</t>
  </si>
  <si>
    <t>BAR-02</t>
  </si>
  <si>
    <t>drive.google.com/timur-barista</t>
  </si>
  <si>
    <t>Эспрессо, фильтр, настройка помола</t>
  </si>
  <si>
    <t>Кофейня: Настроил помол и вкус стал стабильнее, клиенты это заметили. 5⭐</t>
  </si>
  <si>
    <t>Олег: Хорошо работает с оборудованием и обучает новичков. 5⭐</t>
  </si>
  <si>
    <t>Мария: Иногда долго объясняет, но результат есть. 4⭐</t>
  </si>
  <si>
    <t>BAR-03</t>
  </si>
  <si>
    <t>instagram.com/roman.coffee</t>
  </si>
  <si>
    <t>Латте-арт, альтернативные методы</t>
  </si>
  <si>
    <t>Владелец кафе: Поднял качество напитков и обучил персонал. 5⭐</t>
  </si>
  <si>
    <t>Гость: Кофе стабильно вкусный, видно руку профи. 5⭐</t>
  </si>
  <si>
    <t>Администратор: Цена выше средней, но оправдано. 4⭐</t>
  </si>
  <si>
    <t>BAR-04</t>
  </si>
  <si>
    <t>t.me/sania.coffee</t>
  </si>
  <si>
    <t>Эспрессо, базовый латте-арт</t>
  </si>
  <si>
    <t>Айбек: Кофе стал вкуснее и подача аккуратная. 5⭐</t>
  </si>
  <si>
    <t>Жанар: Иногда медленно работает в час пик. 4⭐</t>
  </si>
  <si>
    <t>Руслан: В целом хороший специалист. 4⭐</t>
  </si>
  <si>
    <t>BAR-05</t>
  </si>
  <si>
    <t>t.me/ermek.coffee</t>
  </si>
  <si>
    <t>Эспрессо, базовая чистка</t>
  </si>
  <si>
    <t>Айгуль: Старательный, но часто спрашивает и сомневается. 3⭐</t>
  </si>
  <si>
    <t>Дамир: Для небольшой точки подойдёт. 3⭐</t>
  </si>
  <si>
    <t>BAR-06</t>
  </si>
  <si>
    <t>instagram.com/olga.coffee</t>
  </si>
  <si>
    <t>Обжарка, меню, обучение персонала</t>
  </si>
  <si>
    <t>Кофейня: Полностью обновила меню и стандарты, продажи выросли. 5⭐</t>
  </si>
  <si>
    <t>Команда: Очень сильный наставник. 5⭐</t>
  </si>
  <si>
    <t>Владелец: Дорого, но результат стоит того. 5⭐</t>
  </si>
  <si>
    <t>BAR-07</t>
  </si>
  <si>
    <t>drive.google.com/nurzhan-coffee</t>
  </si>
  <si>
    <t>Эспрессо, альтернативы</t>
  </si>
  <si>
    <t>Гость: Кофе вкусный и стабильно одинаковый. 5⭐</t>
  </si>
  <si>
    <t>Администратор: Иногда долго готовит сложные напитки. 4⭐</t>
  </si>
  <si>
    <t>Олег: В целом доволен работой. 4⭐</t>
  </si>
  <si>
    <t>BAR-08</t>
  </si>
  <si>
    <t>t.me/dilnaz.coffee</t>
  </si>
  <si>
    <t>Эспрессо, латте-арт базовый</t>
  </si>
  <si>
    <t>Айбек: Аккуратно готовит, стало лучше, чем было. 4⭐</t>
  </si>
  <si>
    <t>Асем: Иногда ошибается с пропорциями. 3⭐</t>
  </si>
  <si>
    <t>Руслан: Для небольшой кофейни нормально. 4⭐</t>
  </si>
  <si>
    <t>BAR-09</t>
  </si>
  <si>
    <t>instagram.com/artem.coffee</t>
  </si>
  <si>
    <t>Меню, обжарка, контроль качества</t>
  </si>
  <si>
    <t>Сеть кофеен: Выстроил стандарты и вкус во всех точках. 5⭐</t>
  </si>
  <si>
    <t>Партнёр: Очень сильный профессионал. 5⭐</t>
  </si>
  <si>
    <t>Владелец: Полностью оправдал ожидания. 5⭐</t>
  </si>
  <si>
    <t>BAR-10</t>
  </si>
  <si>
    <t>instagram.com/alina.coffee</t>
  </si>
  <si>
    <t>Эспрессо, альтернативы, сервис</t>
  </si>
  <si>
    <t>Гость: Всегда вежлива и делает стабильный вкус. 5⭐</t>
  </si>
  <si>
    <t>Менеджер: Иногда сложно закрывать смены без неё. 4⭐</t>
  </si>
  <si>
    <t>PRO-01</t>
  </si>
  <si>
    <t>Дамир Искаков</t>
  </si>
  <si>
    <t>Тренинги по продажам</t>
  </si>
  <si>
    <t>t.me/damir.promo</t>
  </si>
  <si>
    <t>Коммуникация, презентация продукта</t>
  </si>
  <si>
    <t>Маркетинг: Хорошо общается с людьми и привлекает внимание к бренду. 4⭐</t>
  </si>
  <si>
    <t>Ольга: Иногда путает скрипты. 3⭐</t>
  </si>
  <si>
    <t>Рустам: Для своей цены нормально. 4⭐</t>
  </si>
  <si>
    <t>PRO-02</t>
  </si>
  <si>
    <t>instagram.com/aigerim.promo</t>
  </si>
  <si>
    <t>Презентации, работа с возражениями</t>
  </si>
  <si>
    <t>Бренд: Увеличила количество лидов на акции. 5⭐</t>
  </si>
  <si>
    <t>Менеджер: Всегда пунктуальна и ответственна. 5⭐</t>
  </si>
  <si>
    <t>Коллега: Иногда слишком мягко продаёт. 4⭐</t>
  </si>
  <si>
    <t>PRO-03</t>
  </si>
  <si>
    <t>drive.google.com/nurlan-promo</t>
  </si>
  <si>
    <t>Акции, дегустации, стенды</t>
  </si>
  <si>
    <t>Компания: Отлично отрабатывает мероприятия и привлекает людей. 5⭐</t>
  </si>
  <si>
    <t>Организатор: Хорошо держит внимание аудитории. 5⭐</t>
  </si>
  <si>
    <t>Мария: Иногда устаёт к концу дня. 4⭐</t>
  </si>
  <si>
    <t>PRO-04</t>
  </si>
  <si>
    <t>t.me/aruzhan.promo</t>
  </si>
  <si>
    <t>Раздача флаеров, опросы</t>
  </si>
  <si>
    <t>Айгуль: Старательная, но стесняется людей. 3⭐</t>
  </si>
  <si>
    <t>Дамир: Для простых задач подойдёт. 3⭐</t>
  </si>
  <si>
    <t>Лейла: За небольшие деньги нормально. 4⭐</t>
  </si>
  <si>
    <t>PRO-05</t>
  </si>
  <si>
    <t>instagram.com/ilya.promo</t>
  </si>
  <si>
    <t>Продажи, презентации, отчёты</t>
  </si>
  <si>
    <t>Бренд: Привёл много качественных лидов. 5⭐</t>
  </si>
  <si>
    <t>Сервис: Очень профессионально работает с людьми. 5⭐</t>
  </si>
  <si>
    <t>Маркетинг: Цена высокая, но результат есть. 4⭐</t>
  </si>
  <si>
    <t>PRO-06</t>
  </si>
  <si>
    <t>t.me/sania.promo</t>
  </si>
  <si>
    <t>Дегустации, опросы</t>
  </si>
  <si>
    <t>Магазин: Хорошо общается с клиентами. 4⭐</t>
  </si>
  <si>
    <t>Олег: Иногда забывает фиксировать контакты. 3⭐</t>
  </si>
  <si>
    <t>Айша: В целом довольны. 4⭐</t>
  </si>
  <si>
    <t>PRO-07</t>
  </si>
  <si>
    <t>drive.google.com/pavel-promo</t>
  </si>
  <si>
    <t>Скрипты, продажи, отчёты</t>
  </si>
  <si>
    <t>Компания: Стабильно выполняет план по лидам. 5⭐</t>
  </si>
  <si>
    <t>Руководитель: Ответственный и исполнительный. 5⭐</t>
  </si>
  <si>
    <t>Коллега: Иногда перегружает клиентов информацией. 4⭐</t>
  </si>
  <si>
    <t>PRO-08</t>
  </si>
  <si>
    <t>t.me/dilnaz.promo</t>
  </si>
  <si>
    <t>Флаеры, презентации</t>
  </si>
  <si>
    <t>Айбек: Аккуратно работает и не конфликтует с клиентами. 4⭐</t>
  </si>
  <si>
    <t>Асем: Иногда теряется в сложных вопросах. 3⭐</t>
  </si>
  <si>
    <t>PRO-09</t>
  </si>
  <si>
    <t>instagram.com/zhanat.promo</t>
  </si>
  <si>
    <t>Продажи, обучение новичков</t>
  </si>
  <si>
    <t>Сеть магазинов: Очень сильный промоутер и наставник. 5⭐</t>
  </si>
  <si>
    <t>Маркетинг: Поднял конверсию на акциях. 5⭐</t>
  </si>
  <si>
    <t>Владелец: Полностью довольны. 5⭐</t>
  </si>
  <si>
    <t>PRO-10</t>
  </si>
  <si>
    <t>Алина Жумабаева</t>
  </si>
  <si>
    <t>drive.google.com/alina-promo</t>
  </si>
  <si>
    <t>Скрипты, общение, отчёты</t>
  </si>
  <si>
    <t>Бренд: Хорошо отрабатывает офлайн-мероприятия. 5⭐</t>
  </si>
  <si>
    <t>Менеджер: Иногда нужно напоминать про отчёты. 4⭐</t>
  </si>
  <si>
    <t>Олег: В целом отличный результат. 4⭐</t>
  </si>
  <si>
    <t>DEL-01</t>
  </si>
  <si>
    <t>Курьер / логистика</t>
  </si>
  <si>
    <t>Руслан Беков</t>
  </si>
  <si>
    <t>Внутреннее обучение</t>
  </si>
  <si>
    <t>t.me/ruslan.delivery</t>
  </si>
  <si>
    <t>Пеший/велокурьер, навигация</t>
  </si>
  <si>
    <t>Магазин: Доставляет аккуратно и без потерь. 4⭐</t>
  </si>
  <si>
    <t>Клиент: Иногда задерживается. 3⭐</t>
  </si>
  <si>
    <t>Менеджер: В целом надёжный. 4⭐</t>
  </si>
  <si>
    <t>DEL-02</t>
  </si>
  <si>
    <t>Опыт + рекомендации</t>
  </si>
  <si>
    <t>drive.google.com/aibek-delivery</t>
  </si>
  <si>
    <t>Авто, маршрутизация, отчёты</t>
  </si>
  <si>
    <t>Компания: Оптимизировал маршруты и снизил задержки. 5⭐</t>
  </si>
  <si>
    <t>Клиент: Всегда вежлив и аккуратен. 5⭐</t>
  </si>
  <si>
    <t>Олег: Иногда перегружен заказами. 4⭐</t>
  </si>
  <si>
    <t>DEL-03</t>
  </si>
  <si>
    <t>t.me/daniyar.delivery</t>
  </si>
  <si>
    <t>Авто, сканер, навигация</t>
  </si>
  <si>
    <t>Магазин: Быстро закрывает смены и не теряет посылки. 5⭐</t>
  </si>
  <si>
    <t>Клиент: Иногда сложно дозвониться. 4⭐</t>
  </si>
  <si>
    <t>Менеджер: В целом хороший сотрудник. 4⭐</t>
  </si>
  <si>
    <t>DEL-04</t>
  </si>
  <si>
    <t>t.me/aruzhan.delivery</t>
  </si>
  <si>
    <t>Пешая доставка</t>
  </si>
  <si>
    <t>Айгуль: Старательная, но путается в адресах. 3⭐</t>
  </si>
  <si>
    <t>Дамир: Для небольшого района подходит. 3⭐</t>
  </si>
  <si>
    <t>DEL-05</t>
  </si>
  <si>
    <t>Олег Платонов</t>
  </si>
  <si>
    <t>drive.google.com/oleg-delivery</t>
  </si>
  <si>
    <t>Логистика, склад, маршруты</t>
  </si>
  <si>
    <t>Компания: Выстроил процессы доставки и снизил потери. 5⭐</t>
  </si>
  <si>
    <t>Партнёр: Очень надёжный специалист. 5⭐</t>
  </si>
  <si>
    <t>DEL-06</t>
  </si>
  <si>
    <t>t.me/sania.delivery</t>
  </si>
  <si>
    <t>Пешая/авто доставка</t>
  </si>
  <si>
    <t>Магазин: Аккуратно доставляет и предупреждает о задержках. 4⭐</t>
  </si>
  <si>
    <t>Клиент: Иногда долго ищет адрес. 3⭐</t>
  </si>
  <si>
    <t>Менеджер: В целом довольны. 4⭐</t>
  </si>
  <si>
    <t>DEL-07</t>
  </si>
  <si>
    <t>Опыт + кейсы</t>
  </si>
  <si>
    <t>drive.google.com/nurzhan-delivery</t>
  </si>
  <si>
    <t>Авто, маршруты, склад</t>
  </si>
  <si>
    <t>Компания: Очень стабильная и надёжная доставка. 5⭐</t>
  </si>
  <si>
    <t>Клиент: Всегда приезжает вовремя. 5⭐</t>
  </si>
  <si>
    <t>Олег: Цена выше, но качество отличное. 4⭐</t>
  </si>
  <si>
    <t>DEL-08</t>
  </si>
  <si>
    <t>t.me/dilnaz.delivery</t>
  </si>
  <si>
    <t>Пешая доставка, навигация</t>
  </si>
  <si>
    <t>Айбек: Старательно доставляет, без потерь. 4⭐</t>
  </si>
  <si>
    <t>Асем: Иногда задерживается. 3⭐</t>
  </si>
  <si>
    <t>Руслан: Для небольших объёмов подходит. 4⭐</t>
  </si>
  <si>
    <t>DEL-09</t>
  </si>
  <si>
    <t>Высшее + опыт</t>
  </si>
  <si>
    <t>drive.google.com/sergey-delivery</t>
  </si>
  <si>
    <t>Логистика, склад, оптимизация</t>
  </si>
  <si>
    <t>Компания: Сильно улучшил процессы доставки и учёта. 5⭐</t>
  </si>
  <si>
    <t>Партнёр: Очень опытный и системный. 5⭐</t>
  </si>
  <si>
    <t>DEL-10</t>
  </si>
  <si>
    <t>t.me/alina.delivery</t>
  </si>
  <si>
    <t>Авто, навигация, отчёты</t>
  </si>
  <si>
    <t>Магазин: Стабильно закрывает доставку без срывов. 5⭐</t>
  </si>
  <si>
    <t>Клиент: Иногда приезжает раньше, чем договаривались. 4⭐</t>
  </si>
  <si>
    <t>Олег: В целом отличный сервис. 4⭐</t>
  </si>
  <si>
    <t>EV-01</t>
  </si>
  <si>
    <t>Ивент-координатор</t>
  </si>
  <si>
    <t>instagram.com/meruert.event</t>
  </si>
  <si>
    <t>Тайминг, подрядчики, сценарии</t>
  </si>
  <si>
    <t>Клиент: Организовала корпоратив без накладок и с хорошей атмосферой. 5⭐</t>
  </si>
  <si>
    <t>Ведущий: Чёткий тайминг и коммуникация. 5⭐</t>
  </si>
  <si>
    <t>Заказчик: Иногда долго согласовывали детали. 4⭐</t>
  </si>
  <si>
    <t>EV-02</t>
  </si>
  <si>
    <t>Данияр Куат</t>
  </si>
  <si>
    <t>notion.site/daniyar-event</t>
  </si>
  <si>
    <t>Бюджет, подрядчики, продакшн</t>
  </si>
  <si>
    <t>Компания: Провёл большой ивент без срывов и перерасхода бюджета. 5⭐</t>
  </si>
  <si>
    <t>Партнёр: Очень системный подход. 5⭐</t>
  </si>
  <si>
    <t>Клиент: Дорого, но уровень высокий. 4⭐</t>
  </si>
  <si>
    <t>EV-03</t>
  </si>
  <si>
    <t>t.me/aisha.event</t>
  </si>
  <si>
    <t>Помощь, тайминг, подрядчики</t>
  </si>
  <si>
    <t>Заказчик: Аккуратно всё координировала и помогала на площадке. 4⭐</t>
  </si>
  <si>
    <t>Ведущий: Иногда терялась в стрессовых ситуациях. 3⭐</t>
  </si>
  <si>
    <t>Клиент: Для небольшого мероприятия нормально. 4⭐</t>
  </si>
  <si>
    <t>EV-04</t>
  </si>
  <si>
    <t>Сергей Платонов</t>
  </si>
  <si>
    <t>behance.net/sergey-event</t>
  </si>
  <si>
    <t>Большие ивенты, продакшн</t>
  </si>
  <si>
    <t>Корпорация: Провёл крупное мероприятие на высоком уровне. 5⭐</t>
  </si>
  <si>
    <t>Партнёры: Очень опытный и надёжный координатор. 5⭐</t>
  </si>
  <si>
    <t>Клиент: Полностью довольны результатом. 5⭐</t>
  </si>
  <si>
    <t>EV-05</t>
  </si>
  <si>
    <t>instagram.com/sania.event</t>
  </si>
  <si>
    <t>Сценарии, тайминг, подрядчики</t>
  </si>
  <si>
    <t>Клиент: Всё прошло по плану и без суеты. 5⭐</t>
  </si>
  <si>
    <t>Ведущий: Хорошая коммуникация и контроль процесса. 5⭐</t>
  </si>
  <si>
    <t>Заказчик: Иногда долго утверждаем подрядчиков. 4⭐</t>
  </si>
  <si>
    <t>EV-06</t>
  </si>
  <si>
    <t>t.me/ermek.event</t>
  </si>
  <si>
    <t>Помощь на площадке</t>
  </si>
  <si>
    <t>Айгуль: Старательный, но пока мало опыта. 3⭐</t>
  </si>
  <si>
    <t>Дамир: Для небольших мероприятий подойдёт. 3⭐</t>
  </si>
  <si>
    <t>EV-07</t>
  </si>
  <si>
    <t>notion.site/olga-event</t>
  </si>
  <si>
    <t>Бюджет, команда, тайминг</t>
  </si>
  <si>
    <t>Компания: Очень сильный организатор, всё под контролем. 5⭐</t>
  </si>
  <si>
    <t>Подрядчик: Чёткие ТЗ и сроки. 5⭐</t>
  </si>
  <si>
    <t>Клиент: Цена высокая, но оправдано. 4⭐</t>
  </si>
  <si>
    <t>EV-08</t>
  </si>
  <si>
    <t>t.me/dilnaz.event</t>
  </si>
  <si>
    <t>Помощь, тайминг</t>
  </si>
  <si>
    <t>Клиент: Помогла с организацией и координацией гостей. 4⭐</t>
  </si>
  <si>
    <t>Ведущий: Иногда теряет темп. 3⭐</t>
  </si>
  <si>
    <t>Заказчик: В целом довольны. 4⭐</t>
  </si>
  <si>
    <t>EV-09</t>
  </si>
  <si>
    <t>behance.net/artem-event</t>
  </si>
  <si>
    <t>Крупные мероприятия, продакшн</t>
  </si>
  <si>
    <t>Фестиваль: Отличная организация и контроль всех процессов. 5⭐</t>
  </si>
  <si>
    <t>Партнёр: Очень надёжный координатор. 5⭐</t>
  </si>
  <si>
    <t>Клиент: Полностью оправдал ожидания. 5⭐</t>
  </si>
  <si>
    <t>EV-10</t>
  </si>
  <si>
    <t>instagram.com/alina.event</t>
  </si>
  <si>
    <t>Сценарии, подрядчики, тайминг</t>
  </si>
  <si>
    <t>Клиент: Мероприятие прошло спокойно и без накладок. 5⭐</t>
  </si>
  <si>
    <t>Ведущий: Хорошая организация и коммуникация. 5⭐</t>
  </si>
  <si>
    <t>Заказчик: Иногда долго согласовываем бюджет. 4⭐</t>
  </si>
  <si>
    <t>REP-01</t>
  </si>
  <si>
    <t>Мастер по ремонту телефонов</t>
  </si>
  <si>
    <t>Курсы по ремонту</t>
  </si>
  <si>
    <t>instagram.com/aibek.fix</t>
  </si>
  <si>
    <t>Замена экранов, диагностика</t>
  </si>
  <si>
    <t>Клиент: Быстро заменил экран, всё работает. 5⭐</t>
  </si>
  <si>
    <t>Олег: Иногда долго ищет запчасти. 4⭐</t>
  </si>
  <si>
    <t>Мария: В целом довольна. 4⭐</t>
  </si>
  <si>
    <t>REP-02</t>
  </si>
  <si>
    <t>drive.google.com/ruslan-fix</t>
  </si>
  <si>
    <t>Платы, сложный ремонт</t>
  </si>
  <si>
    <t>Сервис: Починил телефон после воды, другие отказались. 5⭐</t>
  </si>
  <si>
    <t>Клиент: Очень грамотный специалист. 5⭐</t>
  </si>
  <si>
    <t>Олег: Дорого, но результат есть. 4⭐</t>
  </si>
  <si>
    <t>REP-03</t>
  </si>
  <si>
    <t>t.me/aruzhan.fix</t>
  </si>
  <si>
    <t>Замена батарей, экранов</t>
  </si>
  <si>
    <t>Айгуль: Аккуратно поменяла батарею. 4⭐</t>
  </si>
  <si>
    <t>Дамир: Пока мало опыта со сложными поломками. 3⭐</t>
  </si>
  <si>
    <t>REP-04</t>
  </si>
  <si>
    <t>instagram.com/sergey.fix</t>
  </si>
  <si>
    <t>Платы, микропайка</t>
  </si>
  <si>
    <t>Сервисный центр: Очень сильный специалист по сложным случаям. 5⭐</t>
  </si>
  <si>
    <t>Клиент: Телефон спасли после серьёзной поломки. 5⭐</t>
  </si>
  <si>
    <t>Партнёр: Полностью доверяем. 5⭐</t>
  </si>
  <si>
    <t>REP-05</t>
  </si>
  <si>
    <t>t.me/sania.fix</t>
  </si>
  <si>
    <t>Экраны, разъёмы, диагностика</t>
  </si>
  <si>
    <t>Клиент: Быстро и без лишних навязываний услуг. 5⭐</t>
  </si>
  <si>
    <t>Олег: Иногда долго ждёшь деталь. 4⭐</t>
  </si>
  <si>
    <t>Айша: В целом довольна ремонтом. 4⭐</t>
  </si>
  <si>
    <t>REP-06</t>
  </si>
  <si>
    <t>t.me/ermek.fix</t>
  </si>
  <si>
    <t>Базовый ремонт</t>
  </si>
  <si>
    <t>Айгуль: Старательный, но пока боится сложных ремонтов. 3⭐</t>
  </si>
  <si>
    <t>Дамир: Для простых поломок подойдёт. 3⭐</t>
  </si>
  <si>
    <t>REP-07</t>
  </si>
  <si>
    <t>instagram.com/olga.fix</t>
  </si>
  <si>
    <t>Диагностика, платы, экраны</t>
  </si>
  <si>
    <t>Клиент: Починила телефон, который уже хотели списывать. 5⭐</t>
  </si>
  <si>
    <t>Сервис: Очень аккуратная и профессиональная работа. 5⭐</t>
  </si>
  <si>
    <t>Олег: Цена высокая, но результат отличный. 4⭐</t>
  </si>
  <si>
    <t>REP-08</t>
  </si>
  <si>
    <t>t.me/dilnaz.fix</t>
  </si>
  <si>
    <t>Экраны, батареи</t>
  </si>
  <si>
    <t>Айбек: Быстро поменяла экран. 4⭐</t>
  </si>
  <si>
    <t>Асем: Иногда не хватает запчастей в наличии. 3⭐</t>
  </si>
  <si>
    <t>Руслан: В целом нормально. 4⭐</t>
  </si>
  <si>
    <t>REP-09</t>
  </si>
  <si>
    <t>behance.net/artem-fix</t>
  </si>
  <si>
    <t>Сложный ремонт, микропайка</t>
  </si>
  <si>
    <t>Сервисный центр: Очень высокий уровень ремонта. 5⭐</t>
  </si>
  <si>
    <t>Клиент: Спас данные и телефон. 5⭐</t>
  </si>
  <si>
    <t>Партнёр: Полностью довольны. 5⭐</t>
  </si>
  <si>
    <t>REP-10</t>
  </si>
  <si>
    <t>instagram.com/alina.fix</t>
  </si>
  <si>
    <t>Диагностика, экраны, батареи</t>
  </si>
  <si>
    <t>Клиент: Сделала всё быстро и объяснила причину поломки. 5⭐</t>
  </si>
  <si>
    <t>Олег: Иногда долго ждёшь запчасть. 4⭐</t>
  </si>
  <si>
    <t>Айша: В целом отличный сервис. 4⭐</t>
  </si>
  <si>
    <t>TUT-01</t>
  </si>
  <si>
    <t xml:space="preserve">  RU, KZ, EN</t>
  </si>
  <si>
    <t>drive.google.com/aidana-eng</t>
  </si>
  <si>
    <t>Английский A1–B1, разговорная практика</t>
  </si>
  <si>
    <t>Алия: Стало легче говорить по-английски, перестала бояться ошибок. 4⭐</t>
  </si>
  <si>
    <t>Ерлан: Иногда мало грамматики на уроках. 3⭐</t>
  </si>
  <si>
    <t>Наташа: Для разговорной практики отлично подходит. 4⭐</t>
  </si>
  <si>
    <t>TUT-02</t>
  </si>
  <si>
    <t>notion.site/ruslan-math</t>
  </si>
  <si>
    <t>Алгебра, геометрия, ЕНТ</t>
  </si>
  <si>
    <t>Родители: Сын заметно подтянул математику и стал увереннее писать контрольные. 5⭐</t>
  </si>
  <si>
    <t>Ученик: Объясняет спокойно и по шагам. 5⭐</t>
  </si>
  <si>
    <t>Мама: Цена высокая, но результат есть. 4⭐</t>
  </si>
  <si>
    <t>TUT-03</t>
  </si>
  <si>
    <t>Репетитор по начальным классам</t>
  </si>
  <si>
    <t>t.me/aruzhan-primary</t>
  </si>
  <si>
    <t>Чтение, письмо, ДЗ</t>
  </si>
  <si>
    <t>Айгуль: Ребёнок стал быстрее делать домашку. 4⭐</t>
  </si>
  <si>
    <t>Дамир: Иногда путается в программе. 3⭐</t>
  </si>
  <si>
    <t>Лейла: Для младших классов нормально. 4⭐</t>
  </si>
  <si>
    <t>TUT-04</t>
  </si>
  <si>
    <t>Репетитор по физике</t>
  </si>
  <si>
    <t>Высшее (физика) + кейсы</t>
  </si>
  <si>
    <t>notion.site/olga-physics</t>
  </si>
  <si>
    <t>Физика, подготовка к экзаменам</t>
  </si>
  <si>
    <t>Родители: Подготовила к экзамену, результат превзошёл ожидания. 5⭐</t>
  </si>
  <si>
    <t>Ученик: Сложные темы стали понятными. 5⭐</t>
  </si>
  <si>
    <t>Семья: Полностью довольны. 5⭐</t>
  </si>
  <si>
    <t>TUT-05</t>
  </si>
  <si>
    <t>Репетитор по английскому (IELTS)</t>
  </si>
  <si>
    <t>drive.google.com/nurzhan-ielts</t>
  </si>
  <si>
    <t>IELTS, грамматика, speaking</t>
  </si>
  <si>
    <t>Айбек: Балл по IELTS вырос, особенно по speaking. 5⭐</t>
  </si>
  <si>
    <t>Асем: Иногда даёт много домашки. 4⭐</t>
  </si>
  <si>
    <t>TUT-06</t>
  </si>
  <si>
    <t>t.me/ermek-math</t>
  </si>
  <si>
    <t>Базовая математика</t>
  </si>
  <si>
    <t>Айша: Старательный, но пока мало опыта. 3⭐</t>
  </si>
  <si>
    <t>Дамир: Для простых тем подойдёт. 3⭐</t>
  </si>
  <si>
    <t>TUT-07</t>
  </si>
  <si>
    <t>Репетитор по химии</t>
  </si>
  <si>
    <t>Высшее (химия) + кейсы</t>
  </si>
  <si>
    <t>notion.site/maria-chem</t>
  </si>
  <si>
    <t>Химия, ЕНТ, лабораторные темы</t>
  </si>
  <si>
    <t>Родители: Подготовила к экзамену очень системно. 5⭐</t>
  </si>
  <si>
    <t>Ученик: Стало понятно то, что раньше не понимал. 5⭐</t>
  </si>
  <si>
    <t>Семья: Цена высокая, но результат отличный. 4⭐</t>
  </si>
  <si>
    <t>TUT-08</t>
  </si>
  <si>
    <t>Репетитор по биологии</t>
  </si>
  <si>
    <t>t.me/dilnaz-bio</t>
  </si>
  <si>
    <t>Биология, подготовка к тестам</t>
  </si>
  <si>
    <t>Айбек: Помогла структурировать темы перед тестом. 4⭐</t>
  </si>
  <si>
    <t>Асем: Иногда объясняет слишком быстро. 3⭐</t>
  </si>
  <si>
    <t>TUT-09</t>
  </si>
  <si>
    <t>Репетитор по математике (олимпиадный уровень)</t>
  </si>
  <si>
    <t>400 000 ₸</t>
  </si>
  <si>
    <t>notion.site/artem-olymp</t>
  </si>
  <si>
    <t>Олимпиадная математика</t>
  </si>
  <si>
    <t>Родители: Подготовил к олимпиаде, результат отличный. 5⭐</t>
  </si>
  <si>
    <t>Ученик: Очень понятно объясняет сложные задачи. 5⭐</t>
  </si>
  <si>
    <t>TUT-10</t>
  </si>
  <si>
    <t>Репетитор по физике и математике</t>
  </si>
  <si>
    <t>drive.google.com/alina-stem</t>
  </si>
  <si>
    <t>Физика, математика, тесты</t>
  </si>
  <si>
    <t>Айдана: Помогла подготовиться к экзамену по физике. 5⭐</t>
  </si>
  <si>
    <t>Жанар: Иногда переносит занятия. 4⭐</t>
  </si>
  <si>
    <t>TR-01</t>
  </si>
  <si>
    <t>Переводчик</t>
  </si>
  <si>
    <t>RU, KZ, EN, TR, DE</t>
  </si>
  <si>
    <t>Высшее (языки)</t>
  </si>
  <si>
    <t>drive.google.com/aigerim-tr</t>
  </si>
  <si>
    <t>RU-EN, документы, статьи</t>
  </si>
  <si>
    <t>Компания: Переводы точные и в срок. 5⭐</t>
  </si>
  <si>
    <t>Редактор: Иногда нужно править стиль. 4⭐</t>
  </si>
  <si>
    <t>Клиент: В целом довольны. 4⭐</t>
  </si>
  <si>
    <t>TR-02</t>
  </si>
  <si>
    <t>Евгений Платов</t>
  </si>
  <si>
    <t>RU, KZ, EN, FR, IT</t>
  </si>
  <si>
    <t>notion.site/evgeny-tr</t>
  </si>
  <si>
    <t>RU-EN, юридические тексты</t>
  </si>
  <si>
    <t>Юристы: Переводы аккуратные и без потери смысла. 5⭐</t>
  </si>
  <si>
    <t>Компания: Сдаёт всегда вовремя. 5⭐</t>
  </si>
  <si>
    <t>Клиент: Дорого, но качество высокое. 4⭐</t>
  </si>
  <si>
    <t>TR-03</t>
  </si>
  <si>
    <t>Салтанат Ермек</t>
  </si>
  <si>
    <t>RU, KZ, EN, CN, JP</t>
  </si>
  <si>
    <t>t.me/salt-tr</t>
  </si>
  <si>
    <t>RU-KZ, базовые тексты</t>
  </si>
  <si>
    <t>Айша: Перевела документы без ошибок. 4⭐</t>
  </si>
  <si>
    <t>Руслан: Иногда долго отвечает. 3⭐</t>
  </si>
  <si>
    <t>Жанар: Для простых задач подходит. 4⭐</t>
  </si>
  <si>
    <t>TR-04</t>
  </si>
  <si>
    <t>RU, KZ, EN, ES, PT</t>
  </si>
  <si>
    <t>notion.site/olga-tr</t>
  </si>
  <si>
    <t>RU-EN, IT, финансы</t>
  </si>
  <si>
    <t>Финтех: Очень точные и стилистически выверенные переводы. 5⭐</t>
  </si>
  <si>
    <t>Редактор: Минимум правок. 5⭐</t>
  </si>
  <si>
    <t>Клиент: Полностью довольны. 5⭐</t>
  </si>
  <si>
    <t>TR-05</t>
  </si>
  <si>
    <t>RU, KZ, EN, AR, TR</t>
  </si>
  <si>
    <t>drive.google.com/nurzhan-tr</t>
  </si>
  <si>
    <t>RU-KZ, деловая переписка</t>
  </si>
  <si>
    <t>Компания: Переводы понятные и без потери смысла. 5⭐</t>
  </si>
  <si>
    <t>Менеджер: Иногда просим ускорить сроки. 4⭐</t>
  </si>
  <si>
    <t>TR-06</t>
  </si>
  <si>
    <t>RU, KZ, EN, DE, NL</t>
  </si>
  <si>
    <t>t.me/ermek-tr</t>
  </si>
  <si>
    <t>RU-KZ, простые тексты</t>
  </si>
  <si>
    <t>Айгуль: Старательный, но пока много неточностей. 3⭐</t>
  </si>
  <si>
    <t>Дамир: Для несложных текстов подойдёт. 3⭐</t>
  </si>
  <si>
    <t>TR-07</t>
  </si>
  <si>
    <t>RU, KZ, EN, FR, ES</t>
  </si>
  <si>
    <t>notion.site/maria-tr</t>
  </si>
  <si>
    <t>RU-EN, маркетинг, сайты</t>
  </si>
  <si>
    <t>Агентство: Переводы хорошо адаптированы под аудиторию. 5⭐</t>
  </si>
  <si>
    <t>Редактор: Стиль выдержан. 5⭐</t>
  </si>
  <si>
    <t>Клиент: Иногда долго согласовываем термины. 4⭐</t>
  </si>
  <si>
    <t>TR-08</t>
  </si>
  <si>
    <t>RU, KZ, EN, CN, KR</t>
  </si>
  <si>
    <t>t.me/dilnaz-tr</t>
  </si>
  <si>
    <t>RU-KZ, статьи</t>
  </si>
  <si>
    <t>Айбек: Переводы понятные и читабельные. 4⭐</t>
  </si>
  <si>
    <t>Асем: Иногда просим правки по стилю. 3⭐</t>
  </si>
  <si>
    <t>TR-09</t>
  </si>
  <si>
    <t>RU, KZ, EN, FR, TR</t>
  </si>
  <si>
    <t>notion.site/artem-tr</t>
  </si>
  <si>
    <t>RU-EN, технические тексты</t>
  </si>
  <si>
    <t>Завод: Очень точные технические переводы. 5⭐</t>
  </si>
  <si>
    <t>Инженеры: Понимает контекст. 5⭐</t>
  </si>
  <si>
    <t>TR-10</t>
  </si>
  <si>
    <t>RU, KZ, EN, IT, ES</t>
  </si>
  <si>
    <t>drive.google.com/alina-tr</t>
  </si>
  <si>
    <t>RU-KZ, документы</t>
  </si>
  <si>
    <t>Клиент: Перевела документы быстро и аккуратно. 5⭐</t>
  </si>
  <si>
    <t>GUIDE-01</t>
  </si>
  <si>
    <t>Гид</t>
  </si>
  <si>
    <t>Курсы гида</t>
  </si>
  <si>
    <t>instagram.com/aibek.guide</t>
  </si>
  <si>
    <t>Горы, треккинг, история</t>
  </si>
  <si>
    <t>Туристы: Экскурсия была интересной и не утомительной. 5⭐</t>
  </si>
  <si>
    <t>Группа: Хорошо держит темп и объясняет. 5⭐</t>
  </si>
  <si>
    <t>Клиент: Иногда спешит. 4⭐</t>
  </si>
  <si>
    <t>GUIDE-02</t>
  </si>
  <si>
    <t>notion.site/zhanna-guide</t>
  </si>
  <si>
    <t>Городские туры, музеи</t>
  </si>
  <si>
    <t>Туристы: Очень увлекательная подача материала. 5⭐</t>
  </si>
  <si>
    <t>Агентство: Надёжный и пунктуальный гид. 5⭐</t>
  </si>
  <si>
    <t>Клиент: Цена выше, но качество отличное. 4⭐</t>
  </si>
  <si>
    <t>GUIDE-03</t>
  </si>
  <si>
    <t>t.me/aruzhan.guide</t>
  </si>
  <si>
    <t>Городские прогулки</t>
  </si>
  <si>
    <t>Гости: Приятная экскурсия для знакомства с городом. 4⭐</t>
  </si>
  <si>
    <t>Группа: Иногда не хватает уверенности. 3⭐</t>
  </si>
  <si>
    <t>Клиент: Для старта нормально. 4⭐</t>
  </si>
  <si>
    <t>GUIDE-04</t>
  </si>
  <si>
    <t>behance.net/sergey-guide</t>
  </si>
  <si>
    <t>История, большие группы</t>
  </si>
  <si>
    <t>Турфирма: Очень сильный рассказчик и организатор. 5⭐</t>
  </si>
  <si>
    <t>Туристы: Экскурсия прошла на одном дыхании. 5⭐</t>
  </si>
  <si>
    <t>GUIDE-05</t>
  </si>
  <si>
    <t>230 000 ₸</t>
  </si>
  <si>
    <t>drive.google.com/nurzhan-guide</t>
  </si>
  <si>
    <t>Природа, треккинг</t>
  </si>
  <si>
    <t>Группа: Показал красивые места и всё объяснил. 5⭐</t>
  </si>
  <si>
    <t>Турист: Иногда хотелось больше остановок. 4⭐</t>
  </si>
  <si>
    <t>Организатор: В целом отлично. 4⭐</t>
  </si>
  <si>
    <t>GUIDE-06</t>
  </si>
  <si>
    <t>t.me/ermek.guide</t>
  </si>
  <si>
    <t>Городские маршруты</t>
  </si>
  <si>
    <t>Гости: Старательный, но мало опыта. 3⭐</t>
  </si>
  <si>
    <t>Организатор: Для простых маршрутов подойдёт. 3⭐</t>
  </si>
  <si>
    <t>Клиент: За свою цену нормально. 4⭐</t>
  </si>
  <si>
    <t>GUIDE-07</t>
  </si>
  <si>
    <t>notion.site/olga-guide</t>
  </si>
  <si>
    <t>Музеи, история, группы</t>
  </si>
  <si>
    <t>Туристы: Очень интересно и структурировано. 5⭐</t>
  </si>
  <si>
    <t>Агентство: Всегда пунктуальна. 5⭐</t>
  </si>
  <si>
    <t>Клиент: Иногда долго отвечает в чате. 4⭐</t>
  </si>
  <si>
    <t>GUIDE-08</t>
  </si>
  <si>
    <t>t.me/dilnaz.guide</t>
  </si>
  <si>
    <t>Город, природа</t>
  </si>
  <si>
    <t>Гости: Экскурсия прошла приятно и спокойно. 4⭐</t>
  </si>
  <si>
    <t>Группа: Иногда не хватает громкости. 3⭐</t>
  </si>
  <si>
    <t>GUIDE-09</t>
  </si>
  <si>
    <t>notion.site/artem-guide</t>
  </si>
  <si>
    <t>Сложные маршруты, история</t>
  </si>
  <si>
    <t>Турклуб: Отличная организация и знания маршрутов. 5⭐</t>
  </si>
  <si>
    <t>Гости: Очень профессионально. 5⭐</t>
  </si>
  <si>
    <t>GUIDE-10</t>
  </si>
  <si>
    <t>drive.google.com/alina-guide</t>
  </si>
  <si>
    <t>Город, музеи, прогулки</t>
  </si>
  <si>
    <t>Гости: Экскурсия была лёгкой и интересной. 5⭐</t>
  </si>
  <si>
    <t>Организатор: Иногда долго согласовываем маршрут. 4⭐</t>
  </si>
  <si>
    <t>Клиент: В целом отлично. 4⭐</t>
  </si>
  <si>
    <t>NAN-01</t>
  </si>
  <si>
    <t>Няня</t>
  </si>
  <si>
    <t>Айдана Тлеубек</t>
  </si>
  <si>
    <t>Колледж + курсы</t>
  </si>
  <si>
    <t>instagram.com/aidana.nanny</t>
  </si>
  <si>
    <t>Первая помощь, игры</t>
  </si>
  <si>
    <t>Асемгуль: Ребёнок быстро привык, спокойно оставляем с ней. 5⭐</t>
  </si>
  <si>
    <t>Ерлан: Всегда пунктуальна и аккуратна. 5⭐</t>
  </si>
  <si>
    <t>Мадина: Иногда просим больше активности с ребёнком. 4⭐</t>
  </si>
  <si>
    <t>NAN-02</t>
  </si>
  <si>
    <t>Гульнара Сейтова</t>
  </si>
  <si>
    <t>Педагогическое образование</t>
  </si>
  <si>
    <t>notion.site/gulnara-nanny</t>
  </si>
  <si>
    <t>Уход за младенцами, режим</t>
  </si>
  <si>
    <t>Родители: Огромный опыт, очень спокойная и надёжная. 5⭐</t>
  </si>
  <si>
    <t>Семья: Ребёнок с ней чувствует себя уверенно. 5⭐</t>
  </si>
  <si>
    <t>Клиент: Цена высокая, но оправдана. 4⭐</t>
  </si>
  <si>
    <t>NAN-03</t>
  </si>
  <si>
    <t>t.me/aruzhan.nanny</t>
  </si>
  <si>
    <t>Игры, помощь с ДЗ</t>
  </si>
  <si>
    <t>Салтанат: Хорошо ладит с детьми. 4⭐</t>
  </si>
  <si>
    <t>Олег: Иногда не хватает строгости. 3⭐</t>
  </si>
  <si>
    <t>NAN-04</t>
  </si>
  <si>
    <t>Сауле Бекенова</t>
  </si>
  <si>
    <t>Медколледж + курсы</t>
  </si>
  <si>
    <t>notion.site/saule-nanny</t>
  </si>
  <si>
    <t>Первая помощь, груднички</t>
  </si>
  <si>
    <t>Родители: Очень внимательная и опытная. 5⭐</t>
  </si>
  <si>
    <t>Семья: Спокойно доверяем ребёнка. 5⭐</t>
  </si>
  <si>
    <t>Клиент: Иногда сложно подстроить график. 4⭐</t>
  </si>
  <si>
    <t>NAN-05</t>
  </si>
  <si>
    <t>t.me/diana-nanny</t>
  </si>
  <si>
    <t>Прогулки, игры</t>
  </si>
  <si>
    <t>Айгуль: Старательная, но мало опыта. 3⭐</t>
  </si>
  <si>
    <t>Тимур: Ребёнку нравится с ней играть. 4⭐</t>
  </si>
  <si>
    <t>Жанар: В целом нормально для начала. 4⭐</t>
  </si>
  <si>
    <t>NAN-06</t>
  </si>
  <si>
    <t>notion.site/olga-nanny</t>
  </si>
  <si>
    <t>Развитие, режим дня</t>
  </si>
  <si>
    <t>Родители: Очень системный подход к ребёнку. 5⭐</t>
  </si>
  <si>
    <t>Семья: Видим прогресс в развитии. 5⭐</t>
  </si>
  <si>
    <t>Клиент: Цена высокая, но результат отличный. 4⭐</t>
  </si>
  <si>
    <t>NAN-07</t>
  </si>
  <si>
    <t>drive.google.com/nurzhan-nanny</t>
  </si>
  <si>
    <t>Игры, уход, режим</t>
  </si>
  <si>
    <t>Айдана: Ребёнок стал спокойнее и лучше соблюдать режим. 5⭐</t>
  </si>
  <si>
    <t>Жанар: Иногда опаздывает на 10–15 минут. 4⭐</t>
  </si>
  <si>
    <t>NAN-08</t>
  </si>
  <si>
    <t>t.me/dilnaz-nanny</t>
  </si>
  <si>
    <t>Уход, прогулки</t>
  </si>
  <si>
    <t>Айбек: Аккуратно и спокойно занимается с ребёнком. 4⭐</t>
  </si>
  <si>
    <t>Асем: Иногда не хватает инициативы. 3⭐</t>
  </si>
  <si>
    <t>NAN-09</t>
  </si>
  <si>
    <t>Педагог + курсы</t>
  </si>
  <si>
    <t>notion.site/artem-nanny</t>
  </si>
  <si>
    <t>Развитие, дисциплина</t>
  </si>
  <si>
    <t>Родители: Очень сильный специалист по работе с детьми. 5⭐</t>
  </si>
  <si>
    <t>Семья: Ребёнок стал более собранным. 5⭐</t>
  </si>
  <si>
    <t>NAN-10</t>
  </si>
  <si>
    <t>drive.google.com/alina-nanny</t>
  </si>
  <si>
    <t>Айша: Ребёнок быстро к ней привык. 5⭐</t>
  </si>
  <si>
    <t>Олег: Иногда просим больше занятий. 4⭐</t>
  </si>
  <si>
    <t>Жанар: В целом отличный вариант. 4⭐</t>
  </si>
  <si>
    <t>NUR-01</t>
  </si>
  <si>
    <t>Медсестра</t>
  </si>
  <si>
    <t>Медколледж</t>
  </si>
  <si>
    <t>drive.google.com/aigerim-nurse</t>
  </si>
  <si>
    <t>Инъекции, капельницы, уход</t>
  </si>
  <si>
    <t>Пациент: Аккуратно поставила капельницу и всё объяснила. 5⭐</t>
  </si>
  <si>
    <t>Родственник: Вежливая и внимательная. 5⭐</t>
  </si>
  <si>
    <t>Клиент: Иногда сложно согласовать время. 4⭐</t>
  </si>
  <si>
    <t>NUR-02</t>
  </si>
  <si>
    <t>Высшее + практика</t>
  </si>
  <si>
    <t>notion.site/irina-nurse</t>
  </si>
  <si>
    <t>Уход, инъекции, перевязки</t>
  </si>
  <si>
    <t>Пациент: Очень аккуратная и спокойная. 5⭐</t>
  </si>
  <si>
    <t>Врач: Хорошо соблюдает протоколы. 5⭐</t>
  </si>
  <si>
    <t>Семья: Цена высокая, но качество отличное. 4⭐</t>
  </si>
  <si>
    <t>NUR-03</t>
  </si>
  <si>
    <t>t.me/salt-nurse</t>
  </si>
  <si>
    <t>Инъекции, уход</t>
  </si>
  <si>
    <t>Пациент: Всё сделала аккуратно. 4⭐</t>
  </si>
  <si>
    <t>Родственник: Иногда волнуется. 3⭐</t>
  </si>
  <si>
    <t>NUR-04</t>
  </si>
  <si>
    <t>notion.site/sergey-nurse</t>
  </si>
  <si>
    <t>Сложные случаи, уход</t>
  </si>
  <si>
    <t>Пациенты: Очень опытный и спокойный специалист. 5⭐</t>
  </si>
  <si>
    <t>Врач: Надёжный сотрудник. 5⭐</t>
  </si>
  <si>
    <t>NUR-05</t>
  </si>
  <si>
    <t>drive.google.com/nurzhan-nurse</t>
  </si>
  <si>
    <t>Инъекции, перевязки</t>
  </si>
  <si>
    <t>Пациент: Всё прошло безболезненно. 5⭐</t>
  </si>
  <si>
    <t>Родственник: Внимательный подход. 5⭐</t>
  </si>
  <si>
    <t>Клиент: Иногда долго добирается. 4⭐</t>
  </si>
  <si>
    <t>NUR-06</t>
  </si>
  <si>
    <t>Медколледж (стажёр)</t>
  </si>
  <si>
    <t>t.me/ermek-nurse</t>
  </si>
  <si>
    <t>Базовый уход</t>
  </si>
  <si>
    <t>Пациент: Старательный, но видно, что новичок. 3⭐</t>
  </si>
  <si>
    <t>Родственник: Для простых процедур подходит. 3⭐</t>
  </si>
  <si>
    <t>NUR-07</t>
  </si>
  <si>
    <t>notion.site/olga-nurse</t>
  </si>
  <si>
    <t>Домашний уход, капельницы</t>
  </si>
  <si>
    <t>Пациент: Очень аккуратная и заботливая. 5⭐</t>
  </si>
  <si>
    <t>Семья: Спокойно доверяем. 5⭐</t>
  </si>
  <si>
    <t>Клиент: Цена высокая, но качество отличное. 4⭐</t>
  </si>
  <si>
    <t>NUR-08</t>
  </si>
  <si>
    <t>t.me/dilnaz-nurse</t>
  </si>
  <si>
    <t>Пациент: Всё сделала аккуратно и быстро. 4⭐</t>
  </si>
  <si>
    <t>Родственник: Иногда мало объясняет. 3⭐</t>
  </si>
  <si>
    <t>NUR-09</t>
  </si>
  <si>
    <t>notion.site/artem-nurse</t>
  </si>
  <si>
    <t>Сложный уход, реабилитация</t>
  </si>
  <si>
    <t>Пациент: Очень профессиональный и внимательный. 5⭐</t>
  </si>
  <si>
    <t>Врач: Отлично соблюдает все процедуры. 5⭐</t>
  </si>
  <si>
    <t>NUR-10</t>
  </si>
  <si>
    <t>drive.google.com/alina-nurse</t>
  </si>
  <si>
    <t>Инъекции, капельницы</t>
  </si>
  <si>
    <t>Пациент: Всё прошло спокойно и без боли. 5⭐</t>
  </si>
  <si>
    <t>Родственник: Вежливая и аккуратная. 5⭐</t>
  </si>
  <si>
    <t>REA-01</t>
  </si>
  <si>
    <t>Агент по недвижимости</t>
  </si>
  <si>
    <t>3% от сделки</t>
  </si>
  <si>
    <t>instagram.com/zhanna.realty</t>
  </si>
  <si>
    <t>Переговоры, показы, сделки</t>
  </si>
  <si>
    <t>Асемгуль: Благодаря ей продали дом за неделю и без лишней суеты. 5⭐</t>
  </si>
  <si>
    <t>Евгений: Сэкономил время, она сама подобрала варианты. 5⭐</t>
  </si>
  <si>
    <t>Алия: Не смогли уложиться в наш бюджет. 2⭐</t>
  </si>
  <si>
    <t>REA-02</t>
  </si>
  <si>
    <t>2.5% от сделки</t>
  </si>
  <si>
    <t>drive.google.com/ruslan-realty</t>
  </si>
  <si>
    <t>Документы, показы</t>
  </si>
  <si>
    <t>Данияр: Всё объяснил и помог с документами. 5⭐</t>
  </si>
  <si>
    <t>Инга: Иногда долго отвечает. 4⭐</t>
  </si>
  <si>
    <t>Марат: В целом доволен. 4⭐</t>
  </si>
  <si>
    <t>REA-03</t>
  </si>
  <si>
    <t>Алия Сарсенова</t>
  </si>
  <si>
    <t>2% от сделки</t>
  </si>
  <si>
    <t>Самообучение + стажировка</t>
  </si>
  <si>
    <t>instagram.com/aliya.home</t>
  </si>
  <si>
    <t>Показы, объявления</t>
  </si>
  <si>
    <t>Жандос: Старается, но опыта пока мало. 3⭐</t>
  </si>
  <si>
    <t>Айгерим: Вежливая и ответственная. 4⭐</t>
  </si>
  <si>
    <t>Нурлан: В целом норм. 4⭐</t>
  </si>
  <si>
    <t>REA-04</t>
  </si>
  <si>
    <t>Марат Оспанов</t>
  </si>
  <si>
    <t>4% от сделки</t>
  </si>
  <si>
    <t>Экономическое образование</t>
  </si>
  <si>
    <t>notion.site/marat-realty</t>
  </si>
  <si>
    <t>Сделки, юрсопровождение</t>
  </si>
  <si>
    <t>Саида: Лучший агент, с кем работала. 5⭐</t>
  </si>
  <si>
    <t>Бекзат: Очень профессионально. 5⭐</t>
  </si>
  <si>
    <t>Ирина: Дорого, но эффективно. 4⭐</t>
  </si>
  <si>
    <t>REA-05</t>
  </si>
  <si>
    <t>Еркебулан Токтар</t>
  </si>
  <si>
    <t>1.5% от сделки</t>
  </si>
  <si>
    <t>t.me/erkebulan.realty</t>
  </si>
  <si>
    <t>Алия: Путается в деталях. 3⭐</t>
  </si>
  <si>
    <t>Руслан: Старательный, но сыровато. 3⭐</t>
  </si>
  <si>
    <t>Жанна: Для новичка нормально. 4⭐</t>
  </si>
  <si>
    <t>REA-06</t>
  </si>
  <si>
    <t>3.5% от сделки</t>
  </si>
  <si>
    <t>notion.site/olga-realty</t>
  </si>
  <si>
    <t>Переговоры, сделки</t>
  </si>
  <si>
    <t>Клиент: Продали квартиру быстро и без проблем. 5⭐</t>
  </si>
  <si>
    <t>Покупатель: Всё объяснила и сопроводила сделку. 5⭐</t>
  </si>
  <si>
    <t>Семья: Цена выше, но сервис отличный. 4⭐</t>
  </si>
  <si>
    <t>REA-07</t>
  </si>
  <si>
    <t>drive.google.com/nurzhan-realty</t>
  </si>
  <si>
    <t>Показы, документы</t>
  </si>
  <si>
    <t>Айдана: Нашёл хороший вариант под наш бюджет. 5⭐</t>
  </si>
  <si>
    <t>Жанар: Иногда долго согласовывает встречи. 4⭐</t>
  </si>
  <si>
    <t>REA-08</t>
  </si>
  <si>
    <t>t.me/dilnaz-realty</t>
  </si>
  <si>
    <t>Объявления, показы</t>
  </si>
  <si>
    <t>Айбек: Помогла быстро найти аренду. 4⭐</t>
  </si>
  <si>
    <t>Асем: Иногда мало вариантов. 3⭐</t>
  </si>
  <si>
    <t>REA-09</t>
  </si>
  <si>
    <t>notion.site/artem-realty</t>
  </si>
  <si>
    <t>Сложные сделки, переговоры</t>
  </si>
  <si>
    <t>Корп: Провёл сложную сделку без проблем. 5⭐</t>
  </si>
  <si>
    <t>Клиент: Очень опытный и надёжный. 5⭐</t>
  </si>
  <si>
    <t>REA-10</t>
  </si>
  <si>
    <t>drive.google.com/alina-realty</t>
  </si>
  <si>
    <t>Показы, сделки</t>
  </si>
  <si>
    <t>Клиент: Быстро подобрала подходящий вариант. 5⭐</t>
  </si>
  <si>
    <t>Покупатель: Всё объяснила и сопровождала. 5⭐</t>
  </si>
  <si>
    <t>Олег: Иногда долго отвечает в мессенджере. 4⭐</t>
  </si>
  <si>
    <t>Категория (для навигации)</t>
  </si>
  <si>
    <t>Пример запроса пользователя</t>
  </si>
  <si>
    <t>NLP (что поняла система)</t>
  </si>
  <si>
    <t>Ключевые слоты (что извлечь)</t>
  </si>
  <si>
    <t>Уточняющие вопросы (2–4)</t>
  </si>
  <si>
    <t>Фильтры по базе услуг (какие поля)</t>
  </si>
  <si>
    <t>Куда ведём в платформе (экран/флоу)</t>
  </si>
  <si>
    <t>Результат/подбор (что показать)</t>
  </si>
  <si>
    <t>IT &amp; Tech</t>
  </si>
  <si>
    <t>Я студент, знаю HTML/CSS, хочу удалённо, есть ноутбук. Что мне подойдёт?</t>
  </si>
  <si>
    <t>Интент: подобрать услугу для заработка; категория IT; формат удалённо; навыки HTML/CSS; инвентарь ноутбук; уровень базовый</t>
  </si>
  <si>
    <t>навыки; формат работы; тип занятости; график/слоты; инвентарь; уровень навыков; образование; геолокация; порог входа; доход</t>
  </si>
  <si>
    <t>Какие технологии знаете (HTML/CSS/JS/React)?; Есть ли портфолио?; Сколько часов в неделю готовы?; Какой доход хотите?</t>
  </si>
  <si>
    <t>Категория; Формат работы; Уровень навыков; Необходимый инвентарь; Тип занятости; График; Слоты времени; Порог входа; Средний доход; Карьерный рост</t>
  </si>
  <si>
    <t>Каталог услуг → IT &amp; Tech → Frontend-разработка</t>
  </si>
  <si>
    <t>Показать 5–10 услуг: Frontend, No-code, Чат-боты, SEO; + «почему подходит» + «что нужно подготовить»</t>
  </si>
  <si>
    <t>Хочу перейти в IT, знаю базовый Python, могу учиться. Лучше удалённо.</t>
  </si>
  <si>
    <t>Интент: подбор услуги; IT; формат удалённо/гибрид; навыки Python; уровень базовый→средний; цель рост дохода</t>
  </si>
  <si>
    <t>навыки; формат; обучение; уровень; график; инвентарь; порог входа; карьерный рост; доход</t>
  </si>
  <si>
    <t>Какой язык (Python/Java/Node)?; Готовы ли к долгому обучению?; Сколько времени в день?; Нужен ли быстрый заработок?</t>
  </si>
  <si>
    <t>Категория; Формат работы; Уровень навыков; Образование; Порог входа; Карьерный рост; Средний доход; Тип занятости; График</t>
  </si>
  <si>
    <t>Каталог услуг → IT &amp; Tech → Backend-разработка</t>
  </si>
  <si>
    <t>Показать Backend + смежные: QA, No-code, Техподдержка; + траектория роста (junior→middle)</t>
  </si>
  <si>
    <t>Хочу делать мобильные приложения, есть ноутбук, могу работать удалённо.</t>
  </si>
  <si>
    <t>Интент: подбор услуги; IT; направление mobile; формат удалённо; инвентарь ноутбук; цель заработок</t>
  </si>
  <si>
    <t>навыки; платформа (iOS/Android); формат; график; портфолио; уровень; доход</t>
  </si>
  <si>
    <t>Какая платформа (iOS/Android/Flutter)?; Есть ли проекты/портфолио?; Дедлайн важен?; Какой бюджетный уровень нужен?</t>
  </si>
  <si>
    <t>Категория; Формат работы; Уровень навыков; Необходимый инвентарь; Порог входа; Карьерный рост; Средний доход</t>
  </si>
  <si>
    <t>Каталог услуг → IT &amp; Tech → Mobile-разработка</t>
  </si>
  <si>
    <t>Показать Mobile + смежные: Frontend, Backend, QA; + требования/инструменты</t>
  </si>
  <si>
    <t>Хочу войти в IT без программирования. Какие услуги подойдут?</t>
  </si>
  <si>
    <t>Интент: подбор услуги; IT; низкий порог входа; вариант QA; цель быстрый старт</t>
  </si>
  <si>
    <t>формат; график; уровень; обучение; порог входа; доход</t>
  </si>
  <si>
    <t>Нужно быстро начать или готовы учиться?; Удалённо обязательно?; Есть ли английский?; Какой график?</t>
  </si>
  <si>
    <t>Категория; Порог входа; Формат работы; Уровень навыков; График; Слоты времени; Средний доход; Карьерный рост</t>
  </si>
  <si>
    <t>Каталог услуг → IT &amp; Tech → QA тестирование</t>
  </si>
  <si>
    <t>Показать QA + Техподдержка + No-code как варианты «быстрого входа»</t>
  </si>
  <si>
    <t>Есть опыт администрирования, хочу больше зарабатывать. Что выбрать?</t>
  </si>
  <si>
    <t>Интент: подбор услуги; IT; опыт системный; цель рост дохода; направление DevOps/Cloud</t>
  </si>
  <si>
    <t>опыт; навыки; формат; уровень; доход; карьерный рост</t>
  </si>
  <si>
    <t>Какой опыт (Linux/CI-CD/Cloud)?; Есть ли сертификаты?; Готовы к дежурствам?; Удалённо или офис?</t>
  </si>
  <si>
    <t>Категория; Уровень навыков; Образование; Средний доход; Карьерный рост; Формат работы; Особые требования; Порог входа</t>
  </si>
  <si>
    <t>Каталог услуг → IT &amp; Tech → DevOps/Cloud</t>
  </si>
  <si>
    <t>Показать DevOps/Cloud + системный админ + сетевой инженер; + «что подтянуть»</t>
  </si>
  <si>
    <t>Разбираюсь в компьютерах, хочу стабильную работу. Какие услуги?</t>
  </si>
  <si>
    <t>Интент: подбор услуги; IT; офлайн/гибрид; цель стабильность; навыки PC/сети</t>
  </si>
  <si>
    <t>формат; город; график; навыки; инвентарь; опыт; доход</t>
  </si>
  <si>
    <t>Офисная работа или выезды?; Какие системы (Windows/Linux)?; В каком городе?; Какой график?</t>
  </si>
  <si>
    <t>Категория; Геолокация; Формат работы; График; Уровень навыков; Необходимый инвентарь; Средний доход</t>
  </si>
  <si>
    <t>Каталог услуг → IT &amp; Tech → Системный администратор</t>
  </si>
  <si>
    <t>Показать системный админ + техподдержка + настройка роутера/ПО</t>
  </si>
  <si>
    <t>Есть опыт сетей, хочу подработку по выходным на выездах.</t>
  </si>
  <si>
    <t>Интент: подбор услуги; IT; формат выездная; слоты выходные; навыки сети</t>
  </si>
  <si>
    <t>город; формат; слоты; навыки; инвентарь; физ активность</t>
  </si>
  <si>
    <t>Готовы ездить по городу?; Есть ли инструмент/тестер?; Какие сети (офис/дом)?; Какой доход нужен?</t>
  </si>
  <si>
    <t>Категория; Формат работы; Слоты времени; Геолокация; Необходимый инвентарь; Уровень навыков; Физ. активность; Средний доход</t>
  </si>
  <si>
    <t>Каталог услуг → IT &amp; Tech → Сетевой инженер</t>
  </si>
  <si>
    <t>Показать сетевой инженер + настройка сети офиса + монтаж кабеля</t>
  </si>
  <si>
    <t>Хочу заняться кибербезопасностью, есть базовые знания, хочу удалённо.</t>
  </si>
  <si>
    <t>Интент: подбор услуги; IT security; формат удалённо; уровень средний→высокий; цель рост</t>
  </si>
  <si>
    <t>уровень; опыт; сертификаты; формат; доход; карьерный рост</t>
  </si>
  <si>
    <t>Какие направления (аудит/пентест/политики)?; Есть ли сертификаты?; Какой опыт?; Нужен быстрый доход?</t>
  </si>
  <si>
    <t>Категория; Уровень навыков; Образование; Порог входа; Средний доход; Карьерный рост; Формат работы</t>
  </si>
  <si>
    <t>Каталог услуг → IT &amp; Tech → Кибербезопасность (аудит)</t>
  </si>
  <si>
    <t>Показать кибер-аудит + сетевой инженер + системный админ как «ступени»</t>
  </si>
  <si>
    <t>Умею Excel, хочу анализировать данные и работать удалённо.</t>
  </si>
  <si>
    <t>Интент: подбор услуги; BI/аналитика; формат удалённо/гибрид; навыки Excel; цель доход</t>
  </si>
  <si>
    <t>навыки; формат; образование; уровень; доход; график</t>
  </si>
  <si>
    <t>Знаете ли Power BI?; Есть ли опыт отчётов?; Нужна удалёнка строго?; Какой график?</t>
  </si>
  <si>
    <t>Категория; Уровень навыков; Формат работы; Образование; Порог входа; Средний доход; Карьерный рост</t>
  </si>
  <si>
    <t>Каталог услуг → IT &amp; Tech → BI аналитик (Power BI)</t>
  </si>
  <si>
    <t>Показать BI аналитик + Power BI обучение + Excel обучение (если нужно подтянуть)</t>
  </si>
  <si>
    <t>Хочу делать чат-боты для бизнеса, работать удалённо. Что нужно?</t>
  </si>
  <si>
    <t>Интент: подбор услуги; IT automation; формат удалённо; цель заказы; навыки код/но-код</t>
  </si>
  <si>
    <t>платформа; формат; навыки; уровень; инвентарь; доход</t>
  </si>
  <si>
    <t>На какой платформе (TG/WA)?; Код или no-code?; Есть ли примеры?; Сколько времени в неделю?</t>
  </si>
  <si>
    <t>Категория; Формат работы; Уровень навыков; Порог входа; Необходимый инвентарь; Средний доход; Карьерный рост</t>
  </si>
  <si>
    <t>Каталог услуг → IT &amp; Tech → Чат-боты</t>
  </si>
  <si>
    <t>Показать чат-боты + внедрение CRM + no-code как связку</t>
  </si>
  <si>
    <t>Хочу быстро начать делать сайты без кода. Нужна удалёнка.</t>
  </si>
  <si>
    <t>Интент: подбор услуги; IT/No-code; порог входа низкий/средний; формат удалённо; цель быстрый старт</t>
  </si>
  <si>
    <t>формат; уровень; обучение; портфолио; доход</t>
  </si>
  <si>
    <t>На чём хотите (Tilda/Webflow)?; Нужен быстрый доход?; Есть ли чувство дизайна?; Сколько времени в неделю?</t>
  </si>
  <si>
    <t>Категория; Порог входа; Формат работы; Уровень навыков; Средний доход; Тип занятости; Карьерный рост</t>
  </si>
  <si>
    <t>Каталог услуг → IT &amp; Tech → No-code</t>
  </si>
  <si>
    <t>Показать No-code + графдизайн + копирайт как пакет «сайт под ключ»</t>
  </si>
  <si>
    <t>Хочу помогать бизнесу настраивать CRM, есть опыт продаж/админки.</t>
  </si>
  <si>
    <t>Интент: подбор услуги; CRM; формат гибрид/удалённо; навыки бизнес+тех; цель доход</t>
  </si>
  <si>
    <t>формат; навыки; опыт; город; доход; порог входа</t>
  </si>
  <si>
    <t>С какой CRM работали?; Готовы общаться с клиентами?; Нужны ли выезды?; Какой чек/доход хотите?</t>
  </si>
  <si>
    <t>Категория; Формат работы; Уровень навыков; Порог входа; Средний доход; Особые требования; Карьерный рост</t>
  </si>
  <si>
    <t>Каталог услуг → IT &amp; Tech → Внедрение CRM</t>
  </si>
  <si>
    <t>Показать CRM внедрение + чат-боты + техподдержка как линейку услуг</t>
  </si>
  <si>
    <t>Нужна работа из дома, могу отвечать пользователям и решать проблемы.</t>
  </si>
  <si>
    <t>Интент: подбор услуги; техподдержка; формат удалённо; график сменный; уровень базовый</t>
  </si>
  <si>
    <t>формат; график; слоты; навыки; язык; инвентарь</t>
  </si>
  <si>
    <t>Какой график удобен?; Есть ли опыт общения с клиентами?; Какие устройства/ПО знаете?; Какой язык (ru/kk/en)?</t>
  </si>
  <si>
    <t>Категория; Формат работы; График; Слоты времени; Уровень навыков; Язык (если храните); Необходимый инвентарь; Порог входа</t>
  </si>
  <si>
    <t>Каталог услуг → IT &amp; Tech → Техподдержка</t>
  </si>
  <si>
    <t>Показать техподдержка + установка ПО + настройка роутера как «быстрый старт»</t>
  </si>
  <si>
    <t>Хочу заниматься 1C, есть бухгалтерский опыт. Можно ли без IT?</t>
  </si>
  <si>
    <t>Интент: подбор услуги; 1C; формат гибрид/офлайн; навыки бух+1C; цель стабильный доход</t>
  </si>
  <si>
    <t>образование; навыки; формат; город; доход; порог входа</t>
  </si>
  <si>
    <t>Есть ли опыт 1C?; Готовы ли учиться?; В каком городе?; Нужна ли удалёнка?</t>
  </si>
  <si>
    <t>Категория; Образование; Уровень навыков; Формат работы; Порог входа; Средний доход; Карьерный рост</t>
  </si>
  <si>
    <t>Каталог услуг → IT &amp; Tech → Настройка 1C</t>
  </si>
  <si>
    <t>Показать настройка 1C + бухгалтер ИП/ТОО (как связка навыков)</t>
  </si>
  <si>
    <t>Маркетинг/Digital</t>
  </si>
  <si>
    <t>Умею вести Instagram, хочу подработку онлайн, есть телефон и ноутбук.</t>
  </si>
  <si>
    <t>Интент: подбор услуги; digital; формат удалённо; навыки контент; цель подработка</t>
  </si>
  <si>
    <t>формат; навыки; график; инвентарь; доход</t>
  </si>
  <si>
    <t>Какой контент умеете (сторис/посты/реелс)?; Сколько времени в день?; Есть ли кейсы?; Какой доход хотите?</t>
  </si>
  <si>
    <t>Категория; Формат работы; Уровень навыков; График; Необходимый инвентарь; Вид оплаты; Средний доход; Карьерный рост</t>
  </si>
  <si>
    <t>Каталог услуг → Маркетинг/Digital → SMM-ведение</t>
  </si>
  <si>
    <t>Показать SMM + копирайтер + сценарист Reels + монтажер как набор услуг</t>
  </si>
  <si>
    <t>Хочу настраивать рекламу в Instagram, работать удалённо.</t>
  </si>
  <si>
    <t>Интент: подбор услуги; таргет; формат удалённо; навыки реклама; цель доход/рост</t>
  </si>
  <si>
    <t>формат; уровень; обучение; доход; опыт/кейсы</t>
  </si>
  <si>
    <t>Проходили ли обучение?; Есть ли опыт запусков?; Какой бюджет/чек хотите вести?; Нужны ли быстрые результаты?</t>
  </si>
  <si>
    <t>Категория; Формат работы; Уровень навыков; Порог входа; Средний доход; Карьерный рост; Особые требования</t>
  </si>
  <si>
    <t>Каталог услуг → Маркетинг/Digital → Таргетолог Meta</t>
  </si>
  <si>
    <t>Показать таргет + SMM + контекстолог (как варианты рекламы)</t>
  </si>
  <si>
    <t>Хочу настраивать Google рекламу, могу учиться, нужен рост дохода.</t>
  </si>
  <si>
    <t>Интент: подбор услуги; контекст; формат удалённо; уровень средний; цель лиды/доход</t>
  </si>
  <si>
    <t>навыки; формат; обучение; доход; график</t>
  </si>
  <si>
    <t>Есть ли опыт Google Ads?; Какой тип бизнеса интересен?; Готовы ли вести отчётность?; Сколько часов в неделю?</t>
  </si>
  <si>
    <t>Категория; Формат работы; Уровень навыков; Порог входа; Средний доход; Карьерный рост</t>
  </si>
  <si>
    <t>Каталог услуг → Маркетинг/Digital → Контекстолог Google Ads</t>
  </si>
  <si>
    <t>Показать контекст + SEO + BI (отчёты) как связку</t>
  </si>
  <si>
    <t>Я хорошо пишу тексты, хочу удалённую работу. Какие услуги подойдут?</t>
  </si>
  <si>
    <t>Интент: подбор услуги; копирайт; формат удалённо; навыки текст; порог входа низкий</t>
  </si>
  <si>
    <t>формат; уровень; портфолио; график; доход</t>
  </si>
  <si>
    <t>На какие темы пишете?; Есть ли портфолио?; Нужен быстрый доход или рост?; Сколько времени в день?</t>
  </si>
  <si>
    <t>Категория; Формат работы; Порог входа; Уровень навыков; Средний доход; Тип занятости; Карьерный рост</t>
  </si>
  <si>
    <t>Каталог услуг → Маркетинг/Digital → Копирайтер</t>
  </si>
  <si>
    <t>Показать копирайтер + сценарист Reels + продюсер блогов как дорожку роста</t>
  </si>
  <si>
    <t>Люблю придумывать идеи, хочу писать сценарии для Reels и TikTok.</t>
  </si>
  <si>
    <t>Интент: подбор услуги; контент; формат удалённо; навык креатив/сценарии; цель заказы</t>
  </si>
  <si>
    <t>формат; ниша; портфолио; график; доход</t>
  </si>
  <si>
    <t>Для каких ниш хотите писать?; Есть ли примеры/черновики?; Сколько сценариев в неделю?; Какой чек хотите?</t>
  </si>
  <si>
    <t>Категория; Формат работы; Уровень навыков; Необходимый инвентарь; Средний доход; Вид оплаты; Карьерный рост</t>
  </si>
  <si>
    <t>Каталог услуг → Маркетинг/Digital → Сценарист Reels</t>
  </si>
  <si>
    <t>Показать сценарист Reels + копирайтер + видеомонтажер Reels как пакет</t>
  </si>
  <si>
    <t>Умею Canva/Photoshop, хочу работать удалённо. Что выбрать?</t>
  </si>
  <si>
    <t>Интент: подбор услуги; дизайн; формат удалённо; навыки графика; цель доход</t>
  </si>
  <si>
    <t>инвентарь; навыки; формат; портфолио; доход</t>
  </si>
  <si>
    <t>Какие программы знаете?; Есть ли портфолио?; Какие проекты хотите (посты/бренд/баннеры)?; Какой график?</t>
  </si>
  <si>
    <t>Категория; Формат работы; Уровень навыков; Необходимый инвентарь; Средний доход; Порог входа; Карьерный рост</t>
  </si>
  <si>
    <t>Каталог услуг → Маркетинг/Digital → Графдизайнер</t>
  </si>
  <si>
    <t>Показать графдизайн + брендинг + полиграфия (дальше в списке) как рост</t>
  </si>
  <si>
    <t>Хочу делать логотипы и фирменный стиль, есть опыт дизайна.</t>
  </si>
  <si>
    <t>Интент: подбор услуги; брендинг; формат удалённо/гибрид; уровень средний/высокий; цель высокий чек</t>
  </si>
  <si>
    <t>уровень; портфолио; формат; доход; образование</t>
  </si>
  <si>
    <t>Есть ли кейсы брендинга?; Какие ниши?; Хотите работать проектно?; Какой ценовой сегмент?</t>
  </si>
  <si>
    <t>Категория; Уровень навыков; Формат работы; Средний доход; Вид оплаты; Карьерный рост; Порог входа</t>
  </si>
  <si>
    <t>Каталог услуг → Маркетинг/Digital → Брендинг/айдентика</t>
  </si>
  <si>
    <t>Показать брендинг + графдизайнер + продюсер блогов (как «комплекс»)</t>
  </si>
  <si>
    <t>Есть ноутбук, умею CapCut/Premiere, хочу монтировать Reels удалённо.</t>
  </si>
  <si>
    <t>Интент: подбор услуги; монтаж; формат удалённо; инвентарь ПК; цель заказы</t>
  </si>
  <si>
    <t>инвентарь; навыки; формат; график; доход</t>
  </si>
  <si>
    <t>В чём монтируете?; Есть ли примеры?; Сколько роликов в неделю?; Нужны ли субтитры/дизайн?</t>
  </si>
  <si>
    <t>Категория; Формат работы; Необходимый инвентарь; Уровень навыков; Средний доход; Вид оплаты; Карьерный рост</t>
  </si>
  <si>
    <t>Каталог услуг → Маркетинг/Digital → Видеомонтажер Reels</t>
  </si>
  <si>
    <t>Показать монтаж + сценарист Reels + мобилограф как связку «контент под ключ»</t>
  </si>
  <si>
    <t>Хочу снимать на телефон для бизнеса, могу выезжать.</t>
  </si>
  <si>
    <t>Интент: подбор услуги; контент-съёмка; формат выездная; инвентарь телефон; цель заказы</t>
  </si>
  <si>
    <t>город; формат; инвентарь; график; доход</t>
  </si>
  <si>
    <t>В каком городе?; Есть ли примеры съёмок?; Готовы работать в выходные?; Нужен ли монтаж тоже?</t>
  </si>
  <si>
    <t>Категория; Геолокация; Формат работы; Необходимый инвентарь; Уровень навыков; График; Средний доход</t>
  </si>
  <si>
    <t>Каталог услуг → Маркетинг/Digital → Мобилограф</t>
  </si>
  <si>
    <t>Показать мобилограф + фотограф (контент) + монтажер Reels</t>
  </si>
  <si>
    <t>Есть камера, хочу снимать контент для магазинов/кафе, выездная работа.</t>
  </si>
  <si>
    <t>Интент: подбор услуги; контент фото; формат выездная; инвентарь камера; цель доход</t>
  </si>
  <si>
    <t>город; формат; инвентарь; портфолио; доход</t>
  </si>
  <si>
    <t>Какая техника есть?; Есть ли портфолио?; Какая ниша (еда/товары/личный бренд)?; Какой чек хотите?</t>
  </si>
  <si>
    <t>Категория; Геолокация; Формат работы; Необходимый инвентарь; Уровень навыков; Средний доход; Вид оплаты</t>
  </si>
  <si>
    <t>Каталог услуг → Маркетинг/Digital → Фотограф (контент)</t>
  </si>
  <si>
    <t>Показать фотограф контент + предметная фотосъёмка (в списке дальше) + мобилограф</t>
  </si>
  <si>
    <t>Хочу помогать блогерам расти: стратегия, контент, монетизация.</t>
  </si>
  <si>
    <t>Интент: подбор услуги; продюсирование; формат удалённо/гибрид; уровень высокий; цель высокий доход</t>
  </si>
  <si>
    <t>уровень; опыт; формат; доход; карьерный рост</t>
  </si>
  <si>
    <t>Есть ли опыт в маркетинге?; С какими нишами хотите работать?; Готовы вести проект 1–3 месяца?; Нужны ли кейсы?</t>
  </si>
  <si>
    <t>Категория; Уровень навыков; Формат работы; Средний доход; Карьерный рост; Порог входа; Особые требования</t>
  </si>
  <si>
    <t>Каталог услуг → Маркетинг/Digital → Продюсер блогов</t>
  </si>
  <si>
    <t>Показать продюсер блогов + SMM + таргет + сценарист как набор ролей</t>
  </si>
  <si>
    <t>Хочу работать удалённо и продвигать сайты. Могу учиться.</t>
  </si>
  <si>
    <t>Интент: подбор услуги; SEO; формат удалённо; уровень средний; цель рост дохода</t>
  </si>
  <si>
    <t>формат; обучение; уровень; доход; график</t>
  </si>
  <si>
    <t>Есть ли опыт SEO?; Готовы работать с аналитикой?; Нужна ли быстрая подработка?; Сколько времени в неделю?</t>
  </si>
  <si>
    <t>Каталог услуг → Маркетинг/Digital → SEO-специалист</t>
  </si>
  <si>
    <t>Показать SEO + контекстолог + BI аналитик как «маркетинг-аналитика»</t>
  </si>
  <si>
    <t>Events</t>
  </si>
  <si>
    <t>Я хорошо говорю, хочу вести свадьбы/мероприятия по выходным.</t>
  </si>
  <si>
    <t>Интент: подбор услуги; events; формат выездная; слоты выходные/вечер; навык ведущий</t>
  </si>
  <si>
    <t>город; формат; слоты; опыт; доход; инвентарь</t>
  </si>
  <si>
    <t>В каком городе?; На какие мероприятия (свадьба/корпоратив)?; Есть ли портфолио/видео?; Какой ценовой сегмент?</t>
  </si>
  <si>
    <t>Категория; Геолокация; Формат работы; Слоты времени; Уровень навыков; Средний доход; Вид оплаты; Порог входа</t>
  </si>
  <si>
    <t>Каталог услуг → Events → Тамада</t>
  </si>
  <si>
    <t>Показать тамада + DJ + организатор мероприятия как связку</t>
  </si>
  <si>
    <t>Есть аппаратура, хочу играть на мероприятиях и зарабатывать по выходным.</t>
  </si>
  <si>
    <t>Интент: подбор услуги; events; DJ; формат выездная; слоты выходные; инвентарь техника</t>
  </si>
  <si>
    <t>инвентарь; город; слоты; опыт; доход</t>
  </si>
  <si>
    <t>Есть ли своя аппаратура?; Какие форматы (свадьба/клуб)?; Сколько часов готовы работать?; Какой бюджет/чек?</t>
  </si>
  <si>
    <t>Категория; Геолокация; Формат работы; Слоты времени; Необходимый инвентарь; Средний доход; Уровень навыков</t>
  </si>
  <si>
    <t>Каталог услуг → Events → DJ</t>
  </si>
  <si>
    <t>Показать DJ + свет/звук техник + тамада</t>
  </si>
  <si>
    <t>Хочу снимать свадьбы, могу выезжать, есть камера.</t>
  </si>
  <si>
    <t>Интент: подбор услуги; event-photo; формат выездная; инвентарь камера; слоты выходные</t>
  </si>
  <si>
    <t>Какая техника?; Есть ли свадебное портфолио?; На какие даты/сезон?; Нужна ли обработка?</t>
  </si>
  <si>
    <t>Каталог услуг → Events → Фотограф на мероприятие</t>
  </si>
  <si>
    <t>Показать фотограф на мероприятие + видеограф + декоратор (для командной работы)</t>
  </si>
  <si>
    <t>Есть камера, хочу снимать и монтировать видео со свадеб/ивентов.</t>
  </si>
  <si>
    <t>Интент: подбор услуги; event-video; формат выездная; инвентарь камера; навык монтаж</t>
  </si>
  <si>
    <t>инвентарь; формат; слоты; навыки; доход</t>
  </si>
  <si>
    <t>Снимаете и монтируете?; Есть ли портфолио?; На какие мероприятия?; Какой чек?</t>
  </si>
  <si>
    <t>Категория; Формат работы; Геолокация; Необходимый инвентарь; Уровень навыков; Средний доход; Карьерный рост</t>
  </si>
  <si>
    <t>Каталог услуг → Events → Видеограф на мероприятие</t>
  </si>
  <si>
    <t>Показать видеограф + мобилограф + видеомонтажер Reels как опции</t>
  </si>
  <si>
    <t>Хочу оформлять мероприятия, люблю дизайн, могу работать на выездах.</t>
  </si>
  <si>
    <t>Интент: подбор услуги; декор; формат выездная; навыки оформление; слоты выходные</t>
  </si>
  <si>
    <t>город; формат; физ активность; инвентарь; доход</t>
  </si>
  <si>
    <t>Есть ли примеры работ?; Готовы к физической работе?; Есть ли команда/помощник?; Какой бюджетный сегмент?</t>
  </si>
  <si>
    <t>Категория; Формат работы; Геолокация; Физ. активность; Тяжелый физтруд; Необходимый инвентарь; Средний доход</t>
  </si>
  <si>
    <t>Каталог услуг → Events → Декоратор</t>
  </si>
  <si>
    <t>Показать декоратор + флорист + фото-зона аренда</t>
  </si>
  <si>
    <t>Умею собирать букеты, хочу работать на заказ и на мероприятиях.</t>
  </si>
  <si>
    <t>Интент: подбор услуги; флористика; формат офлайн/выездная; инвентарь материалы; цель заказы</t>
  </si>
  <si>
    <t>Где хотите работать (магазин/на заказ)?; Есть ли опыт?; Готовы к праздникам/пикам?; Какой чек?</t>
  </si>
  <si>
    <t>Категория; Формат работы; Геолокация; График; Необходимый инвентарь; Средний доход; Сезонность (если есть)</t>
  </si>
  <si>
    <t>Каталог услуг → Events → Флорист</t>
  </si>
  <si>
    <t>Показать флорист + декоратор + кейтеринг (как команды по ивентам)</t>
  </si>
  <si>
    <t>Есть фотозона/реквизит, хочу сдавать в аренду на мероприятия.</t>
  </si>
  <si>
    <t>Интент: подбор услуги; аренда; формат выездная; инвентарь реквизит; слоты выходные</t>
  </si>
  <si>
    <t>город; формат; инвентарь; логистика; доход</t>
  </si>
  <si>
    <t>Есть ли доставка/монтаж?; Какие размеры/тематики?; В каком городе?; На какие даты чаще?</t>
  </si>
  <si>
    <t>Категория; Формат работы; Геолокация; Необходимый инвентарь; Средний доход; Вид оплаты; Порог входа</t>
  </si>
  <si>
    <t>Каталог услуг → Events → Фото-зона (аренда)</t>
  </si>
  <si>
    <t>Показать фото-зона + декоратор + свет/звук техник</t>
  </si>
  <si>
    <t>Разбираюсь в звуке, хочу работать техником на мероприятиях.</t>
  </si>
  <si>
    <t>Интент: подбор услуги; event-tech; формат выездная; навык техника; инвентарь оборудование</t>
  </si>
  <si>
    <t>город; формат; инвентарь; слоты; физ активность; доход</t>
  </si>
  <si>
    <t>Есть ли своя аппаратура?; Какие мероприятия?; Готовы к ночным сменам?; Какой чек?</t>
  </si>
  <si>
    <t>Категория; Формат работы; Геолокация; Слоты времени; Необходимый инвентарь; Физ. активность; Средний доход</t>
  </si>
  <si>
    <t>Каталог услуг → Events → Свет/звук (техник)</t>
  </si>
  <si>
    <t>Показать техник + DJ + организатор мероприятия</t>
  </si>
  <si>
    <t>Хочу готовить и обслуживать мероприятия, есть команда и кухня.</t>
  </si>
  <si>
    <t>Интент: подбор услуги; кейтеринг; формат выездная; инвентарь кухня/оборудование; цель заказы</t>
  </si>
  <si>
    <t>город; формат; инвентарь; опыт; доход; требования</t>
  </si>
  <si>
    <t>Есть ли кухня/сертификаты?; На сколько гостей?; Делаете доставку/сервировку?; Какой ценовой сегмент?</t>
  </si>
  <si>
    <t>Категория; Формат работы; Геолокация; Необходимый инвентарь; Особые требования; Средний доход; Порог входа</t>
  </si>
  <si>
    <t>Каталог услуг → Events → Кейтеринг</t>
  </si>
  <si>
    <t>Показать кейтеринг + кондитер + организатор мероприятия (комплекс)</t>
  </si>
  <si>
    <t>Умею печь торты, хочу заказы на праздники и свадьбы.</t>
  </si>
  <si>
    <t>Интент: подбор услуги; кондитер; формат офлайн/выездная; инвентарь кухня; сезонность праздники</t>
  </si>
  <si>
    <t>город; формат; инвентарь; график; доход; сезонность</t>
  </si>
  <si>
    <t>Есть ли примеры работ?; Делаете доставку?; Сколько заказов в неделю?; Какой ценовой сегмент?</t>
  </si>
  <si>
    <t>Категория; Формат работы; Геолокация; Необходимый инвентарь; График; Средний доход; Вид оплаты</t>
  </si>
  <si>
    <t>Каталог услуг → Events → Кондитер (торты)</t>
  </si>
  <si>
    <t>Показать кондитер + кейтеринг + флорист (для свадебных пакетов)</t>
  </si>
  <si>
    <t>Люблю детей, могу проводить игры и праздники, хочу подработку по выходным.</t>
  </si>
  <si>
    <t>Интент: подбор услуги; аниматор; формат выездная; слоты выходные; навык коммуникация</t>
  </si>
  <si>
    <t>город; формат; слоты; опыт; требования; доход</t>
  </si>
  <si>
    <t>На какой возраст детей?; Есть ли костюмы/реквизит?; Сколько часов программа?; В каком городе?</t>
  </si>
  <si>
    <t>Категория; Формат работы; Геолокация; Слоты времени; Необходимый инвентарь; Особые требования; Средний доход</t>
  </si>
  <si>
    <t>Каталог услуг → Events → Аниматор (дети)</t>
  </si>
  <si>
    <t>Показать аниматор + тамада + фотограф на мероприятие (детские праздники)</t>
  </si>
  <si>
    <t>Хочу быть организатором мероприятий: план, подрядчики, бюджет.</t>
  </si>
  <si>
    <t>Интент: подбор услуги; event-management; формат выездная/гибрид; уровень средний/высокий; цель высокий чек</t>
  </si>
  <si>
    <t>город; формат; опыт; навыки; доход; карьерный рост</t>
  </si>
  <si>
    <t>Есть ли опыт организации?; Какие типы мероприятий?; Готовы работать проектно?; Какой ценовой сегмент?</t>
  </si>
  <si>
    <t>Категория; Формат работы; Уровень навыков; Средний доход; Карьерный рост; Порог входа; Геолокация</t>
  </si>
  <si>
    <t>Каталог услуг → Events → Организатор мероприятия</t>
  </si>
  <si>
    <t>Показать организатор + подрядчики (DJ/декор/кейтеринг) как пакет</t>
  </si>
  <si>
    <t>Красота</t>
  </si>
  <si>
    <t>Умею стричь, хочу подрабатывать вечером или в выходные.</t>
  </si>
  <si>
    <t>Интент: подбор услуги; beauty; формат офлайн/выездная; слоты вечер/выходные; навык стрижки</t>
  </si>
  <si>
    <t>город; формат; слоты; инвентарь; уровень; доход</t>
  </si>
  <si>
    <t>Есть ли инструменты?; Нужны ли сертификаты?; Дом/салон/выезд?; Какой ценовой сегмент?</t>
  </si>
  <si>
    <t>Категория; Формат работы; Слоты времени; Необходимый инвентарь; Уровень навыков; Особые требования; Средний доход; Порог входа</t>
  </si>
  <si>
    <t>Каталог услуг → Красота → Парикмахер</t>
  </si>
  <si>
    <t>Показать парикмахер + барбер + колорист + стилист по волосам</t>
  </si>
  <si>
    <t>Хочу стричь мужчин, есть машинка, могу работать офлайн.</t>
  </si>
  <si>
    <t>Интент: подбор услуги; барбер; формат офлайн; инвентарь инструменты; цель доход</t>
  </si>
  <si>
    <t>город; формат; инвентарь; уровень; доход</t>
  </si>
  <si>
    <t>Есть ли опыт барберинга?; Где будете работать?; Какой график?; Есть ли портфолио фото «до/после»?</t>
  </si>
  <si>
    <t>Каталог услуг → Красота → Барбер</t>
  </si>
  <si>
    <t>Показать барбер + парикмахер + мужской уход (смежные)</t>
  </si>
  <si>
    <t>Люблю окрашивания, хочу развиваться как колорист, нужен рост дохода.</t>
  </si>
  <si>
    <t>Интент: подбор услуги; колорист; уровень средний/высокий; формат офлайн; цель высокий чек</t>
  </si>
  <si>
    <t>уровень; образование/курсы; формат; доход; требования</t>
  </si>
  <si>
    <t>Есть ли обучение/сертификаты?; Какие техники знаете?; Где будете работать?; Какой ценовой сегмент?</t>
  </si>
  <si>
    <t>Категория; Уровень навыков; Образование; Формат работы; Средний доход; Порог входа; Карьерный рост</t>
  </si>
  <si>
    <t>Каталог услуг → Красота → Колорист</t>
  </si>
  <si>
    <t>Показать колорист + стилист по волосам + парикмахер (ступени роста)</t>
  </si>
  <si>
    <t>Я мама в декрете, умею маникюр, хочу клиентов по выходным.</t>
  </si>
  <si>
    <t>Интент: подбор услуги; маникюр; формат офлайн/выезд; слоты выходные; инвентарь инструменты</t>
  </si>
  <si>
    <t>Есть ли стерилизация/инструменты?; Где будете принимать?; Какие виды (гель/аппаратный)?; Какой чек?</t>
  </si>
  <si>
    <t>Категория; Формат работы; Слоты времени; Необходимый инвентарь; Особые требования; Уровень навыков; Средний доход</t>
  </si>
  <si>
    <t>Каталог услуг → Красота → Маникюр</t>
  </si>
  <si>
    <t>Показать маникюр + педикюр + лэш/брови как комбо</t>
  </si>
  <si>
    <t>Хочу делать педикюр, есть инструменты, можно работать на выезде.</t>
  </si>
  <si>
    <t>Интент: подбор услуги; педикюр; формат выездная/офлайн; инвентарь инструменты; цель доход</t>
  </si>
  <si>
    <t>город; формат; инвентарь; физ активность; доход</t>
  </si>
  <si>
    <t>Готовы выезжать к клиенту?; Есть ли стерилизация?; Какие проблемы умеете решать?; Какой график?</t>
  </si>
  <si>
    <t>Категория; Формат работы; Геолокация; Необходимый инвентарь; Физ. активность; Средний доход; Уровень навыков</t>
  </si>
  <si>
    <t>Каталог услуг → Красота → Педикюр</t>
  </si>
  <si>
    <t>Показать педикюр + маникюр + эпиляция (смежные услуги)</t>
  </si>
  <si>
    <t>Умею делать макияж, хочу заказы на мероприятия по выходным.</t>
  </si>
  <si>
    <t>Интент: подбор услуги; визаж; формат выездная; слоты выходные; инвентарь косметика; сезонность свадьбы</t>
  </si>
  <si>
    <t>город; формат; слоты; инвентарь; портфолио; доход</t>
  </si>
  <si>
    <t>Есть ли портфолио?; Выезжаете ли на дом?; Какие образы (свадебный/вечерний)?; Какой ценовой сегмент?</t>
  </si>
  <si>
    <t>Категория; Формат работы; Слоты времени; Необходимый инвентарь; Уровень навыков; Средний доход; Вид оплаты</t>
  </si>
  <si>
    <t>Каталог услуг → Красота → Визажист</t>
  </si>
  <si>
    <t>Показать визажист + стилист по волосам + фотограф на мероприятие (пакет)</t>
  </si>
  <si>
    <t>Хочу стать бровистом, можно ли начать быстро и работать по вечерам?</t>
  </si>
  <si>
    <t>Интент: подбор услуги; брови; порог входа низкий; формат офлайн/выезд; слоты вечер</t>
  </si>
  <si>
    <t>формат; слоты; обучение; инвентарь; доход</t>
  </si>
  <si>
    <t>Есть ли обучение/курсы?; Есть ли инструменты?; Где будете работать?; Какой график?</t>
  </si>
  <si>
    <t>Категория; Порог входа; Формат работы; Слоты времени; Необходимый инвентарь; Уровень навыков; Средний доход</t>
  </si>
  <si>
    <t>Каталог услуг → Красота → Бровист</t>
  </si>
  <si>
    <t>Показать бровист + лэшмейкер + перманент как дорожку роста</t>
  </si>
  <si>
    <t>Хочу делать ресницы, есть свободное время вечером, хочу подработку.</t>
  </si>
  <si>
    <t>Интент: подбор услуги; ресницы; формат офлайн; слоты вечер; инвентарь материалы</t>
  </si>
  <si>
    <t>слоты; формат; инвентарь; требования; доход</t>
  </si>
  <si>
    <t>Есть ли обучение?; Есть ли кушетка/лампа?; Сколько клиентов в неделю хотите?; Какой ценовой сегмент?</t>
  </si>
  <si>
    <t>Категория; Формат работы; Слоты времени; Необходимый инвентарь; Особые требования; Средний доход; Уровень навыков</t>
  </si>
  <si>
    <t>Каталог услуг → Красота → Лэшмейкер</t>
  </si>
  <si>
    <t>Показать лэшмейкер + бровист + эпиляция (смежные)</t>
  </si>
  <si>
    <t>Хочу делать шугаринг, могу работать на дому, есть место.</t>
  </si>
  <si>
    <t>Интент: подбор услуги; эпиляция; формат офлайн; инвентарь материалы; требования стерильность</t>
  </si>
  <si>
    <t>формат; инвентарь; требования; доход; уровень</t>
  </si>
  <si>
    <t>Есть ли обучение/сертификат?; Есть ли условия для стерильности?; Какие зоны?; Какой график?</t>
  </si>
  <si>
    <t>Категория; Формат работы; Необходимый инвентарь; Особые требования; Уровень навыков; Средний доход</t>
  </si>
  <si>
    <t>Каталог услуг → Красота → Эпиляция/шугаринг</t>
  </si>
  <si>
    <t>Показать эпиляция + брови/ресницы + маникюр (подбор «быстрый старт»)</t>
  </si>
  <si>
    <t>Хочу работать косметологом, есть мед. образование/курсы.</t>
  </si>
  <si>
    <t>Интент: подбор услуги; косметология; уровень высокий; требования образование; формат офлайн; цель высокий чек</t>
  </si>
  <si>
    <t>образование; квалификация; формат; доход; требования</t>
  </si>
  <si>
    <t>Есть ли мед. образование?; Какие процедуры умеете?; Есть ли кабинет/инвентарь?; Какой ценовой сегмент?</t>
  </si>
  <si>
    <t>Категория; Образование; Особые требования; Необходимый инвентарь; Уровень навыков; Средний доход; Порог входа; Карьерный рост</t>
  </si>
  <si>
    <t>Каталог услуг → Красота → Косметолог-эстетист</t>
  </si>
  <si>
    <t>Показать косметолог + перманент + массаж как смежные направления</t>
  </si>
  <si>
    <t>Хочу делать перманент, понимаю что нужно обучение. Подскажите путь.</t>
  </si>
  <si>
    <t>Интент: подбор услуги; перманент; уровень высокий; требования обучение/стерильность; формат офлайн</t>
  </si>
  <si>
    <t>образование; требования; инвентарь; доход; риск/качество</t>
  </si>
  <si>
    <t>Есть ли обучение/сертификат?; Есть ли оборудование/иглы?; Где будете работать?; Готовы ли к долгому обучению?</t>
  </si>
  <si>
    <t>Категория; Образование; Особые требования; Необходимый инвентарь; Уровень навыков; Средний доход; Порог входа</t>
  </si>
  <si>
    <t>Каталог услуг → Красота → Перманентный макияж</t>
  </si>
  <si>
    <t>Показать перманент + бровист + визажист как траекторию</t>
  </si>
  <si>
    <t>Хочу делать прически/укладки на мероприятия по выходным.</t>
  </si>
  <si>
    <t>Интент: подбор услуги; hair styling; формат выездная; слоты выходные; инвентарь инструменты</t>
  </si>
  <si>
    <t>город; формат; слоты; инвентарь; доход</t>
  </si>
  <si>
    <t>Есть ли портфолио?; Делаете ли выезды?; Какие прически (свадебные/вечерние)?; Какой чек?</t>
  </si>
  <si>
    <t>Категория; Формат работы; Слоты времени; Геолокация; Необходимый инвентарь; Средний доход; Уровень навыков</t>
  </si>
  <si>
    <t>Каталог услуг → Красота → Стилист по волосам</t>
  </si>
  <si>
    <t>Показать стилист волос + визажист + фотограф на мероприятие (пакет)</t>
  </si>
  <si>
    <t>Умею делать массаж, хочу клиентов, могу работать на выезде.</t>
  </si>
  <si>
    <t>Интент: подбор услуги; массаж; формат выездная/офлайн; физ нагрузка средняя; цель доход</t>
  </si>
  <si>
    <t>город; формат; физ активность; инвентарь; требования; доход</t>
  </si>
  <si>
    <t>Есть ли сертификат?; Есть ли кушетка/масла?; Выезд или кабинет?; Какой график?</t>
  </si>
  <si>
    <t>Категория; Формат работы; Геолокация; Особые требования; Необходимый инвентарь; Физ. активность; Средний доход; Уровень навыков</t>
  </si>
  <si>
    <t>Каталог услуг → Здоровье/Уход → Массаж классический</t>
  </si>
  <si>
    <t>Показать массаж классический + спортивный + ЛФК/реабилитация (если опыт)</t>
  </si>
  <si>
    <t>Хочу делать спортивный массаж, есть опыт/спорт.</t>
  </si>
  <si>
    <t>Интент: подбор услуги; спорт массаж; уровень средний/высокий; физ нагрузка; формат выездная/офлайн</t>
  </si>
  <si>
    <t>опыт; квалификация; формат; физ активность; доход</t>
  </si>
  <si>
    <t>Есть ли обучение/сертификат?; С кем хотите работать (спортсмены/офис)?; Выезд или кабинет?; Какой чек?</t>
  </si>
  <si>
    <t>Категория; Уровень навыков; Особые требования; Формат работы; Физ. активность; Средний доход; Карьерный рост</t>
  </si>
  <si>
    <t>Каталог услуг → Здоровье/Уход → Массаж спортивный</t>
  </si>
  <si>
    <t>Показать спортивный массаж + ЛФК/реабилитация + классический массаж</t>
  </si>
  <si>
    <t>Есть мед/спорт образование, хочу заниматься реабилитацией.</t>
  </si>
  <si>
    <t>Интент: подбор услуги; реабилитация; требования образование; уровень высокий; формат офлайн/выезд</t>
  </si>
  <si>
    <t>образование; требования; формат; доход; физ активность</t>
  </si>
  <si>
    <t>Есть ли профильное образование?; С какими случаями работаете?; Выезд или кабинет?; Какой график?</t>
  </si>
  <si>
    <t>Категория; Образование; Особые требования; Уровень навыков; Формат работы; Средний доход; Карьерный рост</t>
  </si>
  <si>
    <t>Каталог услуг → Здоровье/Уход → ЛФК/реабилитация</t>
  </si>
  <si>
    <t>Показать ЛФК/реабилитация + массаж спортивный (смежное)</t>
  </si>
  <si>
    <t>Хочу консультировать онлайн, есть образование/курсы, нужен гибкий график.</t>
  </si>
  <si>
    <t>Интент: подбор услуги; психология; формат удалённо; уровень высокий; требования квалификация</t>
  </si>
  <si>
    <t>формат; образование; требования; график; доход</t>
  </si>
  <si>
    <t>Есть ли профильное образование?; Онлайн или офлайн тоже?; С какими запросами хотите работать?; Сколько клиентов в неделю?</t>
  </si>
  <si>
    <t>Категория; Формат работы; Образование; Особые требования; Уровень навыков; Средний доход; Карьерный рост</t>
  </si>
  <si>
    <t>Каталог услуг → Здоровье/Уход → Психолог-консультант</t>
  </si>
  <si>
    <t>Показать психолог + онлайн-консультация психолога (как формат) + семейный психолог</t>
  </si>
  <si>
    <t>Хочу работать с парами и семьями, желательно онлайн.</t>
  </si>
  <si>
    <t>Интент: подбор услуги; семейная терапия; формат удалённо; требования образование; уровень высокий</t>
  </si>
  <si>
    <t>образование; формат; специализация; доход; график</t>
  </si>
  <si>
    <t>Есть ли опыт именно с парами?; Онлайн строго?; Какие темы (конфликты/родительство)?; Есть ли супервизия?</t>
  </si>
  <si>
    <t>Каталог услуг → Здоровье/Уход → Семейный психолог</t>
  </si>
  <si>
    <t>Показать семейный психолог + психолог-консультант + онлайн консультации</t>
  </si>
  <si>
    <t>Хочу работать сиделкой днём, есть опыт ухода, нужна стабильность.</t>
  </si>
  <si>
    <t>Интент: подбор услуги; уход; формат офлайн/выезд; график дневной; физ нагрузка средняя/высокая</t>
  </si>
  <si>
    <t>город; график; физ активность; требования; доход</t>
  </si>
  <si>
    <t>Есть ли опыт ухода?; Готовы к физической нагрузке?; В каком городе?; Нужен ли мед. опыт?</t>
  </si>
  <si>
    <t>Категория; Формат работы; График; Слоты времени; Физ. активность; Тяжелый физтруд; Особые требования; Средний доход</t>
  </si>
  <si>
    <t>Каталог услуг → Здоровье/Уход → Сиделка (дневная)</t>
  </si>
  <si>
    <t>Показать сиделка дневная + уход за пожилыми + клининг (если нужна альтернатива)</t>
  </si>
  <si>
    <t>Могу работать ночью, хочу сиделкой, нужна работа рядом с домом.</t>
  </si>
  <si>
    <t>Интент: подбор услуги; уход; формат офлайн; слоты ночь; важна геолокация</t>
  </si>
  <si>
    <t>город; слоты; график; физ активность; доход</t>
  </si>
  <si>
    <t>Готовы ли работать всю ночь?; Нужен ли мед. опыт?; Какой район/город?; На какой срок?</t>
  </si>
  <si>
    <t>Категория; Формат работы; Слоты времени; Геолокация; Физ. активность; Особые требования; Средний доход</t>
  </si>
  <si>
    <t>Каталог услуг → Здоровье/Уход → Сиделка (ночная)</t>
  </si>
  <si>
    <t>Показать сиделка ночная + уход за пожилыми (варианты)</t>
  </si>
  <si>
    <t>Хочу помогать пожилым: уход, сопровождение, покупки.</t>
  </si>
  <si>
    <t>Интент: подбор услуги; уход; формат выездная; уровень базовый/средний; цель стабильный доход</t>
  </si>
  <si>
    <t>город; формат; физ активность; график; доход</t>
  </si>
  <si>
    <t>Что именно готовы делать (уход/сопровождение)?; Есть ли опыт?; Какой график?; Есть ли ограничения по нагрузке?</t>
  </si>
  <si>
    <t>Категория; Формат работы; Геолокация; График; Физ. активность; Тяжелый физтруд; Порог входа; Средний доход</t>
  </si>
  <si>
    <t>Каталог услуг → Здоровье/Уход → Уход за пожилыми</t>
  </si>
  <si>
    <t>Показать уход за пожилыми + сиделка дневная/ночная</t>
  </si>
  <si>
    <t>Хочу консультировать только онлайн, гибкий график, безопасно и без выездов.</t>
  </si>
  <si>
    <t>Интент: подбор услуги; психология онлайн; формат удалённо; график гибкий; требования квалификация</t>
  </si>
  <si>
    <t>формат; график; образование; специализация; доход</t>
  </si>
  <si>
    <t>Есть ли образование/сертификаты?; Какие запросы клиентов?; Сколько сессий в неделю?; Нужна ли анонимность?</t>
  </si>
  <si>
    <t>Категория; Формат работы; График; Образование; Особые требования; Средний доход; Карьерный рост</t>
  </si>
  <si>
    <t>Каталог услуг → Здоровье/Уход → Онлайн-консультация психолога</t>
  </si>
  <si>
    <t>Показать онлайн психолог + психолог-консультант + семейный психолог (если подходит)</t>
  </si>
  <si>
    <t>Клининг/Дом</t>
  </si>
  <si>
    <t>Хочу подработку уборкой, могу выезжать, нужен быстрый старт.</t>
  </si>
  <si>
    <t>Интент: подбор услуги; клининг; порог входа низкий; формат выездная; цель быстрый заработок</t>
  </si>
  <si>
    <t>город; формат; график; инвентарь; физ активность; доход</t>
  </si>
  <si>
    <t>Есть ли свой инвентарь?; Какой график удобен?; Какой район?; Есть ли ограничения по нагрузке?</t>
  </si>
  <si>
    <t>Категория; Порог входа; Формат работы; График; Слоты времени; Необходимый инвентарь; Физ. активность; Тяжелый физтруд; Средний доход</t>
  </si>
  <si>
    <t>Каталог услуг → Клининг/Дом → Клининг квартиры</t>
  </si>
  <si>
    <t>Показать клининг квартиры + генеральная уборка + мойка окон (опции)</t>
  </si>
  <si>
    <t>Могу делать генеральную уборку, хочу заказы на выходных.</t>
  </si>
  <si>
    <t>Интент: подбор услуги; клининг; формат выездная; слоты выходные; физ нагрузка высокая</t>
  </si>
  <si>
    <t>город; слоты; физ активность; инвентарь; доход</t>
  </si>
  <si>
    <t>Готовы к тяжёлой уборке?; Есть ли пылесос/средства?; В каком городе?; Сколько часов готовы работать?</t>
  </si>
  <si>
    <t>Категория; Формат работы; Слоты времени; Физ. активность; Тяжелый физтруд; Необходимый инвентарь; Средний доход</t>
  </si>
  <si>
    <t>Каталог услуг → Клининг/Дом → Генеральная уборка</t>
  </si>
  <si>
    <t>Показать генеральная уборка + уборка после ремонта + химчистка мебели</t>
  </si>
  <si>
    <t>Хочу брать уборку после ремонта, понимаю что там тяжело, но готов(а).</t>
  </si>
  <si>
    <t>Интент: подбор услуги; клининг; формат выездная; тяжёлый труд да; высокий чек</t>
  </si>
  <si>
    <t>физ активность; тяжелый труд; инвентарь; город; доход</t>
  </si>
  <si>
    <t>Есть ли опыт?; Есть ли инвентарь/строительный пылесос?; Готовы к тяжёлой работе?; Какой график?</t>
  </si>
  <si>
    <t>Категория; Формат работы; Физ. активность; Тяжелый физтруд; Необходимый инвентарь; Средний доход; Порог входа</t>
  </si>
  <si>
    <t>Каталог услуг → Клининг/Дом → Уборка после ремонта</t>
  </si>
  <si>
    <t>Показать уборка после ремонта + вывоз мусора + мойка окон (комбо)</t>
  </si>
  <si>
    <t>Хочу подработку мойкой окон, можно на выезде, по району.</t>
  </si>
  <si>
    <t>Интент: подбор услуги; клининг; формат выездная; порог входа низкий; сезонность возможна</t>
  </si>
  <si>
    <t>Есть ли инвентарь (скребки/средства)?; На какой высоте готовы работать?; В каком районе?; Какой график?</t>
  </si>
  <si>
    <t>Категория; Формат работы; Геолокация; Необходимый инвентарь; Физ. активность; Средний доход; Порог входа</t>
  </si>
  <si>
    <t>Каталог услуг → Клининг/Дом → Мойка окон</t>
  </si>
  <si>
    <t>Показать мойка окон + клининг квартиры + уборка офисов</t>
  </si>
  <si>
    <t>Хочу заниматься химчисткой диванов, могу выезжать, хочу высокий доход.</t>
  </si>
  <si>
    <t>Интент: подбор услуги; химчистка; формат выездная; нужен инвентарь; цель высокий чек</t>
  </si>
  <si>
    <t>инвентарь; формат; город; доход; порог входа</t>
  </si>
  <si>
    <t>Есть ли экстрактор/оборудование?; Готовы ли к выездам?; Какой город?; Хотите работать постоянно или проектно?</t>
  </si>
  <si>
    <t>Категория; Формат работы; Необходимый инвентарь; Порог входа; Средний доход; График; Геолокация</t>
  </si>
  <si>
    <t>Каталог услуг → Клининг/Дом → Химчистка мебели</t>
  </si>
  <si>
    <t>Показать химчистка мебели + химчистка ковров + клининг как линейку</t>
  </si>
  <si>
    <t>Хочу чистить ковры, есть оборудование, можно работать на заказ.</t>
  </si>
  <si>
    <t>Интент: подбор услуги; химчистка ковров; формат выездная/офлайн; инвентарь оборудование</t>
  </si>
  <si>
    <t>инвентарь; формат; график; доход; город</t>
  </si>
  <si>
    <t>Выезд к клиенту или забор ковра?; Есть ли оборудование?; Какой график?; В каком городе?</t>
  </si>
  <si>
    <t>Категория; Формат работы; Необходимый инвентарь; График; Геолокация; Средний доход</t>
  </si>
  <si>
    <t>Каталог услуг → Клининг/Дом → Химчистка ковров</t>
  </si>
  <si>
    <t>Показать химчистка ковров + мебели + вывоз/уборка (сопутствующее)</t>
  </si>
  <si>
    <t>Нужна стабильная работа домработницей, могу приходить регулярно.</t>
  </si>
  <si>
    <t>Интент: подбор услуги; домработница; формат офлайн; тип занятости частичная/полная; цель стабильность</t>
  </si>
  <si>
    <t>город; график; формат; физ активность; доход</t>
  </si>
  <si>
    <t>Сколько дней в неделю готовы?; Какие обязанности (уборка/готовка)?; В каком районе?; Есть ли ограничения по нагрузке?</t>
  </si>
  <si>
    <t>Категория; Тип занятости; График; Формат работы; Геолокация; Физ. активность; Средний доход</t>
  </si>
  <si>
    <t>Каталог услуг → Клининг/Дом → Домработница (регулярно)</t>
  </si>
  <si>
    <t>Показать домработница + глажка/стирка + организация пространства</t>
  </si>
  <si>
    <t>Хочу подрабатывать глажкой, можно дома или на выезде.</t>
  </si>
  <si>
    <t>Интент: подбор услуги; бытовые услуги; формат офлайн/выезд; порог входа низкий</t>
  </si>
  <si>
    <t>формат; график; инвентарь; город; доход</t>
  </si>
  <si>
    <t>Есть ли утюг/парогенератор?; Где удобнее работать?; Сколько часов в день?; В каком городе?</t>
  </si>
  <si>
    <t>Категория; Формат работы; Необходимый инвентарь; График; Слоты времени; Порог входа; Средний доход</t>
  </si>
  <si>
    <t>Каталог услуг → Клининг/Дом → Глажка/стирка</t>
  </si>
  <si>
    <t>Показать глажка/стирка + домработница + клининг квартиры</t>
  </si>
  <si>
    <t>Люблю порядок, хочу помогать людям организовать шкафы и дом.</t>
  </si>
  <si>
    <t>Интент: подбор услуги; организация пространства; формат выездная; навык системность; порог входа средний</t>
  </si>
  <si>
    <t>город; формат; навыки; доход; портфолио</t>
  </si>
  <si>
    <t>Есть ли примеры работ (фото до/после)?; Готовы выезжать?; Какая аудитория (дом/офис)?; Какой чек?</t>
  </si>
  <si>
    <t>Категория; Формат работы; Уровень навыков; Средний доход; Порог входа; Геолокация</t>
  </si>
  <si>
    <t>Каталог услуг → Клининг/Дом → Организация пространства</t>
  </si>
  <si>
    <t>Показать организация пространства + клининг + домработница (связанные услуги)</t>
  </si>
  <si>
    <t>Есть сила и помощник, хочу вывозить мусор/хлам, можно по городу.</t>
  </si>
  <si>
    <t>Интент: подбор услуги; вывоз; формат выездная; тяжелый труд да; инвентарь транспорт</t>
  </si>
  <si>
    <t>город; формат; тяжелый труд; инвентарь; доход</t>
  </si>
  <si>
    <t>Есть ли транспорт?; Готовы к тяжёлой работе?; Работаете один или команда?; Какой график?</t>
  </si>
  <si>
    <t>Категория; Формат работы; Тяжелый физтруд; Физ. активность; Необходимый инвентарь; Средний доход; Геолокация</t>
  </si>
  <si>
    <t>Каталог услуг → Клининг/Дом → Вывоз хлама/мусора</t>
  </si>
  <si>
    <t>Показать вывоз хлама + уборка после ремонта + грузчики (если дальше добавите)</t>
  </si>
  <si>
    <t>Хочу убирать офисы вечером после работы, нужна стабильная подработка.</t>
  </si>
  <si>
    <t>Интент: подбор услуги; уборка офисов; формат офлайн; слоты вечер; цель регулярный доход</t>
  </si>
  <si>
    <t>город; слоты; график; формат; доход</t>
  </si>
  <si>
    <t>В каком городе?; Сколько офисов готовы вести?; Есть ли инвентарь?; Сколько дней в неделю?</t>
  </si>
  <si>
    <t>Категория; Формат работы; Слоты времени; График; Тип занятости; Необходимый инвентарь; Средний доход</t>
  </si>
  <si>
    <t>Каталог услуг → Клининг/Дом → Уборка офисов</t>
  </si>
  <si>
    <t>Показать уборка офисов + клининг квартиры + мойка окон (схожие)</t>
  </si>
  <si>
    <t>Ремонт/Стройка</t>
  </si>
  <si>
    <t>Умею электрику, могу выезжать к клиентам, хочу высокий доход.</t>
  </si>
  <si>
    <t>Интент: подбор услуги; ремонт; электрика; формат выездная; уровень средний; доход</t>
  </si>
  <si>
    <t>город; формат; навыки; инвентарь; физ активность; доход</t>
  </si>
  <si>
    <t>Какие работы (проводка/розетки/щиток)?; Есть ли инструмент?; Готовы к выездам?; Какой график?</t>
  </si>
  <si>
    <t>Категория; Формат работы; Уровень навыков; Необходимый инвентарь; Физ. активность; Средний доход; Порог входа</t>
  </si>
  <si>
    <t>Каталог услуг → Ремонт/Стройка → Электрик</t>
  </si>
  <si>
    <t>Показать электрик + муж на час + монтаж видеонаблюдения (если добавите позже)</t>
  </si>
  <si>
    <t>Могу чинить сантехнику и выезжать. Нужны заказы рядом с домом.</t>
  </si>
  <si>
    <t>Интент: подбор услуги; сантехника; формат выездная; геолокация важна; физ нагрузка средняя</t>
  </si>
  <si>
    <t>Какие работы (краны/трубы/унитаз)?; Есть ли инструмент?; В каком районе?; Готовы к срочным вызовам?</t>
  </si>
  <si>
    <t>Каталог услуг → Ремонт/Стройка → Сантехник</t>
  </si>
  <si>
    <t>Показать сантехник + муж на час + установка дверей (смежное)</t>
  </si>
  <si>
    <t>Хочу работать плиточником, есть опыт, готов к проектам.</t>
  </si>
  <si>
    <t>Интент: подбор услуги; отделка; плитка; формат офлайн/выезд; тяжелый труд возможен</t>
  </si>
  <si>
    <t>опыт; формат; физ активность; доход; длительность проектов</t>
  </si>
  <si>
    <t>Есть ли опыт и фото работ?; Готовы к длительным проектам?; Есть ли инструмент?; В каком городе?</t>
  </si>
  <si>
    <t>Категория; Формат работы; Уровень навыков; Физ. активность; Тяжелый физтруд; Средний доход; Длительность</t>
  </si>
  <si>
    <t>Каталог услуг → Ремонт/Стройка → Плиточник</t>
  </si>
  <si>
    <t>Показать плиточник + маляр/шпаклевка + укладка пола (варианты по ремонту)</t>
  </si>
  <si>
    <t>Могу шпаклевать и красить, хочу стабильные заказы.</t>
  </si>
  <si>
    <t>Интент: подбор услуги; отделка; маляр; формат выездная; физ нагрузка средняя/высокая</t>
  </si>
  <si>
    <t>формат; физ активность; инвентарь; доход; график</t>
  </si>
  <si>
    <t>Есть ли инструмент?; Готовы к пыли/ремонтам?; Какой график?; В каком городе?</t>
  </si>
  <si>
    <t>Категория; Формат работы; Необходимый инвентарь; Физ. активность; Тяжелый физтруд; Средний доход; Порог входа</t>
  </si>
  <si>
    <t>Каталог услуг → Ремонт/Стройка → Маляр/шпаклевка</t>
  </si>
  <si>
    <t>Показать маляр + гипсокартон + натяжные потолки (сопутствующее)</t>
  </si>
  <si>
    <t>Хочу делать гипсокартон, перегородки, потолки. Готов к тяжёлой работе.</t>
  </si>
  <si>
    <t>Интент: подбор услуги; гипсокартон; формат выездная; тяжелый труд да; проекты</t>
  </si>
  <si>
    <t>формат; тяжелый труд; инвентарь; доход; длительность</t>
  </si>
  <si>
    <t>Есть ли опыт/фото работ?; Есть ли инструмент?; Готовы к тяжёлой работе?; В каком городе?</t>
  </si>
  <si>
    <t>Категория; Формат работы; Необходимый инвентарь; Тяжелый физтруд; Физ. активность; Средний доход; Длительность</t>
  </si>
  <si>
    <t>Каталог услуг → Ремонт/Стройка → Гипсокартон</t>
  </si>
  <si>
    <t>Показать гипсокартон + натяжные потолки + маляр (пакет ремонт)</t>
  </si>
  <si>
    <t>Есть команда/инструменты, хочу заниматься натяжными потолками.</t>
  </si>
  <si>
    <t>Интент: подбор услуги; потолки; формат выездная; нужен инвентарь; доход высокий</t>
  </si>
  <si>
    <t>город; формат; инвентарь; опыт; доход</t>
  </si>
  <si>
    <t>Есть ли оборудование?; Работаете один или команда?; В каких городах?; Какой график?</t>
  </si>
  <si>
    <t>Категория; Формат работы; Необходимый инвентарь; Уровень навыков; Средний доход; Порог входа</t>
  </si>
  <si>
    <t>Каталог услуг → Ремонт/Стройка → Натяжные потолки</t>
  </si>
  <si>
    <t>Показать натяжные потолки + гипсокартон + маляр (смежное)</t>
  </si>
  <si>
    <t>Хочу укладывать ламинат, могу выезжать, есть инструмент.</t>
  </si>
  <si>
    <t>Интент: подбор услуги; полы; формат выездная; инвентарь инструмент; проекты</t>
  </si>
  <si>
    <t>Есть ли опыт и фото?; Есть ли инструмент?; Готовы к проектам 1–3 дня?; В каком городе?</t>
  </si>
  <si>
    <t>Категория; Формат работы; Необходимый инвентарь; Уровень навыков; Физ. активность; Средний доход; Длительность</t>
  </si>
  <si>
    <t>Каталог услуг → Ремонт/Стройка → Укладка пола</t>
  </si>
  <si>
    <t>Показать укладка пола + установка дверей + муж на час</t>
  </si>
  <si>
    <t>Могу ставить двери, хочу заказы по городу, желательно рядом.</t>
  </si>
  <si>
    <t>Интент: подбор услуги; двери; формат выездная; геолокация; инвентарь инструмент</t>
  </si>
  <si>
    <t>город; формат; инвентарь; доход; физ активность</t>
  </si>
  <si>
    <t>Есть ли инструмент?; Какие двери (межкомнатные/входные)?; В каком районе?; Готовы к срочным выездам?</t>
  </si>
  <si>
    <t>Каталог услуг → Ремонт/Стройка → Установка дверей</t>
  </si>
  <si>
    <t>Показать установка дверей + укладка пола + сантехник (смежные по ремонту)</t>
  </si>
  <si>
    <t>Я сварщик, хочу проекты и стабильные заказы, есть оборудование.</t>
  </si>
  <si>
    <t>Интент: подбор услуги; сварка; формат выездная; инвентарь оборудование; тяжелый труд</t>
  </si>
  <si>
    <t>формат; инвентарь; физ активность; тяжелый труд; доход</t>
  </si>
  <si>
    <t>Какие работы (металл/ворота/перила)?; Есть ли оборудование?; Где работаете?; Какой график?</t>
  </si>
  <si>
    <t>Категория; Формат работы; Необходимый инвентарь; Физ. активность; Тяжелый физтруд; Средний доход; Уровень навыков</t>
  </si>
  <si>
    <t>Каталог услуг → Ремонт/Стройка → Сварщик</t>
  </si>
  <si>
    <t>Показать сварщик + мебель на заказ + ремонт/монтаж (если рядом)</t>
  </si>
  <si>
    <t>Хочу делать мебель на заказ, есть мастерская/инструменты.</t>
  </si>
  <si>
    <t>Интент: подбор услуги; мебель; формат офлайн/гибрид; инвентарь инструменты; цель высокий чек</t>
  </si>
  <si>
    <t>инвентарь; формат; доход; навыки; длительность</t>
  </si>
  <si>
    <t>Есть ли мастерская?; Делаете замеры/установку?; Какие изделия (кухни/шкафы)?; Какой ценовой сегмент?</t>
  </si>
  <si>
    <t>Категория; Формат работы; Необходимый инвентарь; Уровень навыков; Длительность; Средний доход; Порог входа</t>
  </si>
  <si>
    <t>Каталог услуг → Ремонт/Стройка → Мебель на заказ</t>
  </si>
  <si>
    <t>Показать мебель на заказ + сварщик + установка дверей (смежные)</t>
  </si>
  <si>
    <t>Хочу ставить кондиционеры, есть опыт, готов к выездам летом много.</t>
  </si>
  <si>
    <t>Интент: подбор услуги; монтаж кондиционеров; формат выездная; сезонность лето; физ нагрузка</t>
  </si>
  <si>
    <t>город; формат; сезонность; инвентарь; доход</t>
  </si>
  <si>
    <t>Есть ли инструмент/оборудование?; Готовы к высоте?; В каком городе?; Какой график летом?</t>
  </si>
  <si>
    <t>Категория; Формат работы; Геолокация; Необходимый инвентарь; Физ. активность; Особые требования; Средний доход</t>
  </si>
  <si>
    <t>Каталог услуг → Ремонт/Стройка → Монтаж кондиционеров</t>
  </si>
  <si>
    <t>Показать монтаж кондиционеров + муж на час + электрик (смежное)</t>
  </si>
  <si>
    <t>Умею мелкий ремонт: полки, замки, сборка мебели. Хочу заказы.</t>
  </si>
  <si>
    <t>Интент: подбор услуги; муж на час; формат выездная; порог входа средний; цель быстрые заказы</t>
  </si>
  <si>
    <t>город; формат; навыки; инвентарь; доход</t>
  </si>
  <si>
    <t>Какие работы делаете?; Есть ли инструмент?; В каком районе?; Готовы к срочным вызовам?</t>
  </si>
  <si>
    <t>Категория; Формат работы; Геолокация; Уровень навыков; Необходимый инвентарь; Порог входа; Средний доход</t>
  </si>
  <si>
    <t>Каталог услуг → Ремонт/Стройка → Муж на час</t>
  </si>
  <si>
    <t>Показать муж на час + электрик + сантехник (если навыки есть)</t>
  </si>
  <si>
    <t>Разбираюсь в телефонах, хочу ремонтировать и зарабатывать, есть инструменты.</t>
  </si>
  <si>
    <t>Интент: подбор услуги; ремонт смартфонов; формат офлайн/выезд; инвентарь инструменты; цель заказы</t>
  </si>
  <si>
    <t>инвентарь; формат; город; уровень; доход</t>
  </si>
  <si>
    <t>Какие поломки умеете?; Есть ли оборудование (фен/станция)?; Выезд или мастерская?; Какой график?</t>
  </si>
  <si>
    <t>Категория; Формат работы; Геолокация; Необходимый инвентарь; Уровень навыков; Порог входа; Средний доход</t>
  </si>
  <si>
    <t>Каталог услуг → Ремонт техники → Ремонт смартфонов</t>
  </si>
  <si>
    <t>Показать ремонт смартфонов + восстановление данных + ремонт ноутбуков</t>
  </si>
  <si>
    <t>Хочу чинить ноутбуки, есть опыт с железом/Windows.</t>
  </si>
  <si>
    <t>Интент: подбор услуги; ремонт ноутбуков; формат офлайн/выезд; навыки диагностика; цель доход</t>
  </si>
  <si>
    <t>Какие поломки (железо/софт)?; Есть ли инструмент?; Выезд или мастерская?; Какой график?</t>
  </si>
  <si>
    <t>Категория; Формат работы; Необходимый инвентарь; Уровень навыков; Средний доход; Геолокация; Порог входа</t>
  </si>
  <si>
    <t>Каталог услуг → Ремонт техники → Ремонт ноутбуков</t>
  </si>
  <si>
    <t>Показать ремонт ноутбуков + установка Windows/ПО + сборка ПК</t>
  </si>
  <si>
    <t>Хочу делать установку Windows и программ, можно выезды по городу.</t>
  </si>
  <si>
    <t>Интент: подбор услуги; установка ПО; формат выездная; порог входа низкий/средний; цель быстрый старт</t>
  </si>
  <si>
    <t>Готовы выезжать?; Какие версии/ПО ставите?; Есть ли флешки/лицензии?; Какой график?</t>
  </si>
  <si>
    <t>Категория; Формат работы; Порог входа; Необходимый инвентарь; График; Геолокация; Средний доход</t>
  </si>
  <si>
    <t>Каталог услуг → Ремонт техники → Установка Windows/ПО</t>
  </si>
  <si>
    <t>Показать установка ПО + настройка роутера/Wi-Fi + техподдержка</t>
  </si>
  <si>
    <t>Разбираюсь в интернете, хочу настраивать Wi-Fi на выезде и быстро зарабатывать.</t>
  </si>
  <si>
    <t>Интент: подбор услуги; настройка сети; формат выездная; порог входа низкий; цель быстрые заказы</t>
  </si>
  <si>
    <t>В каком городе/районе?; Какие роутеры умеете?; Готовы к срочным вызовам?; Есть ли инструменты/тестер?</t>
  </si>
  <si>
    <t>Категория; Формат работы; Геолокация; Порог входа; Уровень навыков; Необходимый инвентарь; Средний доход</t>
  </si>
  <si>
    <t>Каталог услуг → Ремонт техники → Настройка роутера/Wi-Fi</t>
  </si>
  <si>
    <t>Показать настройка Wi-Fi + установка ПО + сетевой инженер (рост)</t>
  </si>
  <si>
    <t>Хочу ремонтировать телевизоры, есть опыт, могу работать офлайн.</t>
  </si>
  <si>
    <t>Интент: подбор услуги; ремонт ТВ; формат офлайн/выезд; инвентарь инструменты; уровень средний</t>
  </si>
  <si>
    <t>инвентарь; формат; город; доход; безопасность</t>
  </si>
  <si>
    <t>Есть ли диагностика/оборудование?; Выезд или мастерская?; Какие бренды/типы?; Какой график?</t>
  </si>
  <si>
    <t>Категория; Формат работы; Необходимый инвентарь; Уровень навыков; Геолокация; Средний доход; Порог входа</t>
  </si>
  <si>
    <t>Каталог услуг → Ремонт техники → Ремонт ТВ</t>
  </si>
  <si>
    <t>Показать ремонт ТВ + ремонт ноутбуков + ремонт стиральных (если смежно)</t>
  </si>
  <si>
    <t>Хочу чинить стиралки, готов к выездам, нужен доход выше среднего.</t>
  </si>
  <si>
    <t>Интент: подбор услуги; ремонт техники; формат выездная; физ нагрузка средняя; инвентарь инструмент</t>
  </si>
  <si>
    <t>Есть ли опыт?; Готовы к выездам и подъёмам?; Есть ли инструмент?; Какой график?</t>
  </si>
  <si>
    <t>Каталог услуг → Ремонт техники → Ремонт стиральных машин</t>
  </si>
  <si>
    <t>Показать ремонт стиральных + ремонт холодильников (позже) + сервис кондиционеров (рост)</t>
  </si>
  <si>
    <t>Хочу ремонтировать холодильники, готов к выездам, нужен хороший доход.</t>
  </si>
  <si>
    <t>Интент: подбор услуги; ремонт техники; формат выездная; инвентарь инструменты; цель высокий доход</t>
  </si>
  <si>
    <t>город; формат; инвентарь; физ активность; доход; опыт</t>
  </si>
  <si>
    <t>Есть ли опыт именно по холодильникам?; Есть ли инструмент/диагностика?; Готовы к выездам?; Какой график?</t>
  </si>
  <si>
    <t>Категория; Формат работы; Геолокация; Необходимый инвентарь; Физ. активность; Средний доход; Порог входа; Уровень навыков</t>
  </si>
  <si>
    <t>Каталог услуг → Ремонт техники → Ремонт холодильников</t>
  </si>
  <si>
    <t>Показать ремонт холодильников + ремонт стиралок + сервис кондиционеров (если хочет расширяться)</t>
  </si>
  <si>
    <t>Хочу обслуживать кондиционеры, сезонно летом, выездная работа.</t>
  </si>
  <si>
    <t>Интент: подбор услуги; сервис кондиционеров; формат выездная; сезонность лето; инвентарь оборудование</t>
  </si>
  <si>
    <t>город; формат; сезонность; инвентарь; физ активность; доход</t>
  </si>
  <si>
    <t>Есть ли вакуумный насос/манометры?; Готовы к высоте?; В каком городе?; Какой график в сезон?</t>
  </si>
  <si>
    <t>Каталог услуг → Ремонт/Стройка → Сервис кондиционеров</t>
  </si>
  <si>
    <t>Показать сервис/монтаж кондиционеров + электрик (смежно)</t>
  </si>
  <si>
    <t>Разбираюсь в принтерах, хочу чинить МФУ для офисов, можно на выезде.</t>
  </si>
  <si>
    <t>Интент: подбор услуги; ремонт МФУ; формат выездная; клиенты офисы; инвентарь инструменты</t>
  </si>
  <si>
    <t>Какие бренды/модели?; Есть ли инструмент/расходники?; Выезд или мастерская?; Нужен ли договор с офисами?</t>
  </si>
  <si>
    <t>Категория; Формат работы; Геолокация; Необходимый инвентарь; Уровень навыков; Средний доход; Порог входа</t>
  </si>
  <si>
    <t>Каталог услуг → Ремонт техники → Ремонт принтеров/МФУ</t>
  </si>
  <si>
    <t>Показать ремонт МФУ + техподдержка + настройка сети офиса (если хочет расширить)</t>
  </si>
  <si>
    <t>Хочу заниматься восстановлением данных, работать удалённо/в мастерской.</t>
  </si>
  <si>
    <t>Интент: подбор услуги; data recovery; формат офлайн/гибрид; уровень высокий; цель высокий чек</t>
  </si>
  <si>
    <t>формат; уровень; инвентарь; риск/качество; доход</t>
  </si>
  <si>
    <t>Есть ли опыт/инструменты?; Какие носители (HDD/SSD/флешки)?; Готовы брать ответственность?; Какой формат работы?</t>
  </si>
  <si>
    <t>Категория; Формат работы; Уровень навыков; Необходимый инвентарь; Порог входа; Средний доход; Особые требования</t>
  </si>
  <si>
    <t>Каталог услуг → IT &amp; Tech → Восстановление данных</t>
  </si>
  <si>
    <t>Показать восстановление данных + ремонт ноутбуков + сборка ПК</t>
  </si>
  <si>
    <t>Умею собирать ПК, хочу заказы на сборку и апгрейд.</t>
  </si>
  <si>
    <t>Интент: подбор услуги; сборка ПК; формат офлайн/выезд; инвентарь инструменты; порог входа средний</t>
  </si>
  <si>
    <t>Собираете под игры/работу?; Делаете ли подбор комплектующих?; Выезд или у себя?; Какой график?</t>
  </si>
  <si>
    <t>Категория; Формат работы; Геолокация; Необходимый инвентарь; Уровень навыков; Средний доход</t>
  </si>
  <si>
    <t>Каталог услуг → Ремонт техники → Сборка ПК</t>
  </si>
  <si>
    <t>Показать сборка ПК + ремонт ноутбуков + установка Windows/ПО</t>
  </si>
  <si>
    <t>Есть опыт авто, хочу делать диагностику на СТО/на выезде.</t>
  </si>
  <si>
    <t>Интент: подбор услуги; авто диагностика; формат офлайн/выезд; инструмент сканер; цель доход</t>
  </si>
  <si>
    <t>Есть ли OBD-сканер?; Какие марки авто?; Где будете работать (СТО/выезд)?; Какой график?</t>
  </si>
  <si>
    <t>Каталог услуг → Авто → СТО диагностика</t>
  </si>
  <si>
    <t>Показать диагностика + автоэлектрик + замена масла/ТО</t>
  </si>
  <si>
    <t>Я автоэлектрик, хочу больше заказов, могу работать на выезде.</t>
  </si>
  <si>
    <t>Интент: подбор услуги; автоэлектрика; формат выездная/офлайн; уровень средний/высокий; доход</t>
  </si>
  <si>
    <t>город; формат; инвентарь; уровень; срочность; доход</t>
  </si>
  <si>
    <t>Какие работы (стартер/проводка/сигнализация)?; Есть ли инструмент?; Выезд или СТО?; Срочные выезды возможны?</t>
  </si>
  <si>
    <t>Каталог услуг → Авто → Автоэлектрик</t>
  </si>
  <si>
    <t>Показать автоэлектрик + установка сигнализации + диагностика</t>
  </si>
  <si>
    <t>Хочу работать на шиномонтаже, можно по сменам, офлайн.</t>
  </si>
  <si>
    <t>Интент: подбор услуги; шиномонтаж; формат офлайн; график сменный; физ нагрузка высокая</t>
  </si>
  <si>
    <t>Где хотите работать (СТО/точка)?; Готовы к сезонным пикам?; Есть ли опыт?; Какой график?</t>
  </si>
  <si>
    <t>Категория; Формат работы; График; Геолокация; Физ. активность; Тяжелый физтруд; Средний доход</t>
  </si>
  <si>
    <t>Каталог услуг → Авто → Шиномонтаж</t>
  </si>
  <si>
    <t>Показать шиномонтаж + замена масла/ТО + детейлинг (как рост)</t>
  </si>
  <si>
    <t>Хочу делать замену масла и ТО, стабильные заказы, офлайн.</t>
  </si>
  <si>
    <t>Интент: подбор услуги; ТО; формат офлайн; порог входа средний; цель стабильность</t>
  </si>
  <si>
    <t>Есть ли место/гараж или СТО?; Какие работы кроме масла?; Какой график?; Какие авто обслуживаете?</t>
  </si>
  <si>
    <t>Категория; Формат работы; Геолокация; Уровень навыков; Необходимый инвентарь; Средний доход</t>
  </si>
  <si>
    <t>Каталог услуг → Авто → Замена масла/ТО</t>
  </si>
  <si>
    <t>Показать замена масла + СТО диагностика + шиномонтаж</t>
  </si>
  <si>
    <t>Есть опыт кузовных работ, хочу проекты, высокий чек.</t>
  </si>
  <si>
    <t>Интент: подбор услуги; кузов; формат офлайн; уровень высокий; инвентарь мастерская</t>
  </si>
  <si>
    <t>город; формат; уровень; инвентарь; доход</t>
  </si>
  <si>
    <t>Есть ли мастерская?; Какие работы (рихтовка/замена деталей)?; Сроки/объем?; Какой ценовой сегмент?</t>
  </si>
  <si>
    <t>Категория; Формат работы; Геолокация; Уровень навыков; Необходимый инвентарь; Средний доход; Порог входа</t>
  </si>
  <si>
    <t>Каталог услуг → Авто → Кузовные работы</t>
  </si>
  <si>
    <t>Показать кузовные работы + покраска авто + детейлинг</t>
  </si>
  <si>
    <t>Хочу красить авто, есть опыт, нужна загрузка заказами.</t>
  </si>
  <si>
    <t>Интент: подбор услуги; покраска; формат офлайн; уровень высокий; требования оборудование/камера</t>
  </si>
  <si>
    <t>Есть ли покрасочная камера?; Какие виды работ?; Сколько дней проект?; Какой ценовой сегмент?</t>
  </si>
  <si>
    <t>Категория; Формат работы; Геолокация; Необходимый инвентарь; Уровень навыков; Средний доход; Особые требования</t>
  </si>
  <si>
    <t>Каталог услуг → Авто → Покраска авто</t>
  </si>
  <si>
    <t>Показать покраска + кузовные + детейлинг (комплекс)</t>
  </si>
  <si>
    <t>Хочу заниматься детейлингом, полировка/химчистка салона, выезд/гараж.</t>
  </si>
  <si>
    <t>Интент: подбор услуги; детейлинг; формат офлайн/выезд; инвентарь химия/оборудование; цель доход</t>
  </si>
  <si>
    <t>Есть ли оборудование (полировальная/пылесос)?; Выезд или точка?; Какие услуги (полировка/химчистка)?; Какой график?</t>
  </si>
  <si>
    <t>Каталог услуг → Авто → Детейлинг</t>
  </si>
  <si>
    <t>Показать детейлинг + химчистка мебели (смежно) + мойка окон (как доп)</t>
  </si>
  <si>
    <t>Авто/Логистика</t>
  </si>
  <si>
    <t>Есть эвакуатор, хочу заказы 24/7 или по графику.</t>
  </si>
  <si>
    <t>Интент: подбор услуги; эвакуатор; формат выездная; срочность; график сменный</t>
  </si>
  <si>
    <t>город; график; формат; инвентарь; доход; срочность</t>
  </si>
  <si>
    <t>Есть ли диспетчер/номер?; В каком городе/районе?; Готовы ночью?; Тариф?</t>
  </si>
  <si>
    <t>Категория; Формат работы; Геолокация; График; Слоты времени; Необходимый инвентарь; Средний доход</t>
  </si>
  <si>
    <t>Каталог услуг → Авто → Эвакуатор</t>
  </si>
  <si>
    <t>Показать эвакуатор + трезвый водитель + межгород доставка (если есть авто)</t>
  </si>
  <si>
    <t>Хочу подрабатывать трезвым водителем по вечерам и в выходные.</t>
  </si>
  <si>
    <t>Интент: подбор услуги; трезвый водитель; формат выездная; слоты вечер/выходные; цель подработка</t>
  </si>
  <si>
    <t>Есть ли права/стаж?; Готовы работать ночью?; В каком городе?; Какой график?</t>
  </si>
  <si>
    <t>Категория; Формат работы; Геолокация; Слоты времени; График; Средний доход; Порог входа</t>
  </si>
  <si>
    <t>Каталог услуг → Авто → Трезвый водитель</t>
  </si>
  <si>
    <t>Показать трезвый водитель + такси/курьер авто (если будет в базе услуг)</t>
  </si>
  <si>
    <t>Разбираюсь в авто, хочу заниматься автоподбором под клиента.</t>
  </si>
  <si>
    <t>Интент: подбор услуги; автоподбор; формат выездная; уровень средний/высокий; цель высокий чек</t>
  </si>
  <si>
    <t>Есть ли опыт диагностики?; Есть ли приборы (толщиномер/сканер)?; В каком городе?; Какой ценовой сегмент?</t>
  </si>
  <si>
    <t>Каталог услуг → Авто → Автоподбор</t>
  </si>
  <si>
    <t>Показать автоподбор + СТО диагностика + кузовные (если расширяет)</t>
  </si>
  <si>
    <t>Хочу ставить сигнализации, могу выезжать, есть инструмент.</t>
  </si>
  <si>
    <t>Интент: подбор услуги; сигнализация; формат выездная/офлайн; уровень средний; инвентарь инструмент</t>
  </si>
  <si>
    <t>Какие системы ставите?; Есть ли опыт?; Выезд или СТО?; Какой график?</t>
  </si>
  <si>
    <t>Каталог услуг → Авто → Установка сигнализации</t>
  </si>
  <si>
    <t>Показать установка сигнализации + автоэлектрик + диагностика</t>
  </si>
  <si>
    <t>Хочу подработку пешим курьером вечером, без авто.</t>
  </si>
  <si>
    <t>Интент: подбор услуги; доставка; формат выездная; слоты вечер; порог входа низкий</t>
  </si>
  <si>
    <t>город; формат; слоты; график; доход</t>
  </si>
  <si>
    <t>В каком городе/районе?; Сколько часов готовы?; Есть ли смартфон?; Нужен ли стабильный график?</t>
  </si>
  <si>
    <t>Категория; Формат работы; Геолокация; Слоты времени; График; Порог входа; Средний доход</t>
  </si>
  <si>
    <t>Каталог услуг → Логистика → Курьер (пеший)</t>
  </si>
  <si>
    <t>Показать пеший курьер + экспресс-доставка 1–2 часа (если подходит) + оператор чата (альтернатива)</t>
  </si>
  <si>
    <t>Есть авто, хочу работать курьером, гибкий график, заработать больше.</t>
  </si>
  <si>
    <t>Интент: подбор услуги; доставка авто; формат выездная; инвентарь авто; цель доход</t>
  </si>
  <si>
    <t>город; формат; график; доход; инвентарь</t>
  </si>
  <si>
    <t>В каком городе?; Какой график?; Готовы межгород?; Что возить (еда/документы/техника)?</t>
  </si>
  <si>
    <t>Категория; Формат работы; Геолокация; График; Необходимый инвентарь; Средний доход</t>
  </si>
  <si>
    <t>Каталог услуг → Логистика → Курьер (авто)</t>
  </si>
  <si>
    <t>Показать курьер авто + экспресс доставка + доставка мебели/техники</t>
  </si>
  <si>
    <t>Есть Газель, хочу заказы на перевозки по городу и области.</t>
  </si>
  <si>
    <t>Интент: подбор услуги; грузоперевозки; формат выездная; инвентарь грузовой авто; цель доход</t>
  </si>
  <si>
    <t>город; формат; инвентарь; доход; команда/грузчики</t>
  </si>
  <si>
    <t>Есть ли грузчики?; Какие размеры/грузоподъёмность?; Город/межгород?; Какой график?</t>
  </si>
  <si>
    <t>Категория; Формат работы; Геолокация; Необходимый инвентарь; Средний доход; Тяжелый физтруд</t>
  </si>
  <si>
    <t>Каталог услуг → Логистика → Грузоперевозки (Газель)</t>
  </si>
  <si>
    <t>Показать грузоперевозки + переезд под ключ + доставка мебели/техники</t>
  </si>
  <si>
    <t>Хочу делать переезды под ключ: упаковка, грузчики, доставка.</t>
  </si>
  <si>
    <t>Интент: подбор услуги; переезд; формат выездная; тяжелый труд; нужен транспорт/команда</t>
  </si>
  <si>
    <t>город; формат; инвентарь; команда; доход; длительность</t>
  </si>
  <si>
    <t>Есть ли транспорт?; Есть ли команда/грузчики?; Делаете упаковку?; Какой график/срочность?</t>
  </si>
  <si>
    <t>Категория; Формат работы; Геолокация; Необходимый инвентарь; Тяжелый физтруд; Физ. активность; Средний доход</t>
  </si>
  <si>
    <t>Каталог услуг → Логистика → Переезд под ключ</t>
  </si>
  <si>
    <t>Показать переезд под ключ + грузчики + упаковка при переезде</t>
  </si>
  <si>
    <t>Хочу работать грузчиком, можно по сменам, нужны заказы.</t>
  </si>
  <si>
    <t>Интент: подбор услуги; грузчики; формат выездная; тяжелый труд да; порог входа низкий</t>
  </si>
  <si>
    <t>Готовы к тяжёлой работе?; Есть ли команда?; Какой график?; В каком городе?</t>
  </si>
  <si>
    <t>Категория; Формат работы; Геолокация; График; Физ. активность; Тяжелый физтруд; Средний доход; Порог входа</t>
  </si>
  <si>
    <t>Каталог услуг → Логистика → Грузчики</t>
  </si>
  <si>
    <t>Показать грузчики + такелаж + вывоз хлама/мусора</t>
  </si>
  <si>
    <t>Хочу делать срочные доставки 1–2 часа по городу, есть авто/мото.</t>
  </si>
  <si>
    <t>Интент: подбор услуги; экспресс доставка; формат выездная; срочность; инвентарь транспорт</t>
  </si>
  <si>
    <t>город; срочность; формат; инвентарь; доход</t>
  </si>
  <si>
    <t>Есть ли транспорт?; Готовы к срочным вызовам?; В каком городе/районе?; Какой график?</t>
  </si>
  <si>
    <t>Категория; Формат работы; Геолокация; Слоты времени; График; Необходимый инвентарь; Средний доход</t>
  </si>
  <si>
    <t>Каталог услуг → Логистика → Экспресс-доставка</t>
  </si>
  <si>
    <t>Показать экспресс-доставка + курьер авто + межгород доставка (если хочет расширить)</t>
  </si>
  <si>
    <t>Готов ездить между городами и доставлять грузы, нужен стабильный доход.</t>
  </si>
  <si>
    <t>Интент: подбор услуги; межгород; формат выездная; длительность долгосрочно; инвентарь авто</t>
  </si>
  <si>
    <t>маршрут; график; инвентарь; доход; длительность</t>
  </si>
  <si>
    <t>Есть ли авто и документы?; Какие направления?; Готовы к ночным поездкам?; Какой график?</t>
  </si>
  <si>
    <t>Категория; Формат работы; График; Необходимый инвентарь; Средний доход; Длительность; Геолокация</t>
  </si>
  <si>
    <t>Каталог услуг → Логистика → Межгород доставка</t>
  </si>
  <si>
    <t>Показать межгород доставка + грузоперевозки + эвакуатор (если подходит)</t>
  </si>
  <si>
    <t>Хочу возить мебель и технику, есть авто/газель, можно с грузчиками.</t>
  </si>
  <si>
    <t>Интент: подбор услуги; доставка крупногабарита; формат выездная; тяжелый труд; инвентарь транспорт</t>
  </si>
  <si>
    <t>город; формат; инвентарь; команда; доход</t>
  </si>
  <si>
    <t>Есть ли грузчики?; Какие габариты авто?; В каком городе?; Готовы подъем на этаж?</t>
  </si>
  <si>
    <t>Каталог услуг → Логистика → Доставка мебели/техники</t>
  </si>
  <si>
    <t>Показать доставка мебели/техники + грузчики + такелаж</t>
  </si>
  <si>
    <t>Есть сила и опыт, хочу такелаж: сейфы, станки, тяжёлые грузы.</t>
  </si>
  <si>
    <t>Интент: подбор услуги; такелаж; формат выездная; тяжелый труд да; высокий чек</t>
  </si>
  <si>
    <t>город; формат; инвентарь; команда; безопасность; доход</t>
  </si>
  <si>
    <t>Есть ли команда?; Есть ли ремни/тележки/лебёдки?; Какие грузы?; В каком городе?</t>
  </si>
  <si>
    <t>Категория; Формат работы; Геолокация; Необходимый инвентарь; Тяжелый физтруд; Физ. активность; Средний доход; Особые требования</t>
  </si>
  <si>
    <t>Каталог услуг → Логистика → Такелаж</t>
  </si>
  <si>
    <t>Показать такелаж + грузчики + переезд под ключ</t>
  </si>
  <si>
    <t>Хочу подрабатывать упаковкой вещей при переездах, можно по выходным.</t>
  </si>
  <si>
    <t>Интент: подбор услуги; упаковка; формат выездная; слоты выходные; порог входа низкий</t>
  </si>
  <si>
    <t>город; слоты; формат; инвентарь; доход</t>
  </si>
  <si>
    <t>Есть ли расходники (пленка/коробки) или клиент дает?; В каком городе?; Какой график?; Готовы к выездам?</t>
  </si>
  <si>
    <t>Категория; Формат работы; Геолокация; Слоты времени; Необходимый инвентарь; Порог входа; Средний доход</t>
  </si>
  <si>
    <t>Каталог услуг → Логистика → Упаковка при переезде</t>
  </si>
  <si>
    <t>Показать упаковка + переезд под ключ + клининг после переезда (смежное)</t>
  </si>
  <si>
    <t>Хочу быть репетитором по математике, могу онлайн, вечером.</t>
  </si>
  <si>
    <t>Интент: подбор услуги; репетиторство; формат удалённо; слоты вечер; уровень высокий</t>
  </si>
  <si>
    <t>уровень; формат; слоты; образование; доход</t>
  </si>
  <si>
    <t>Какие классы/ЕНТ?; Онлайн или офлайн тоже?; Есть ли опыт?; Сколько учеников в неделю?</t>
  </si>
  <si>
    <t>Категория; Формат работы; Слоты времени; Образование; Уровень навыков; Средний доход; Вид оплаты</t>
  </si>
  <si>
    <t>Каталог услуг → Образование → Репетитор по математике</t>
  </si>
  <si>
    <t>Показать репетитор математики + подготовка к ЕНТ + Excel обучение (если хочет расширить)</t>
  </si>
  <si>
    <t>Хочу преподавать английский онлайн, гибкий график, есть ноутбук.</t>
  </si>
  <si>
    <t>Интент: подбор услуги; английский; формат удалённо; график гибкий; цель доход</t>
  </si>
  <si>
    <t>уровень языка; формат; график; образование; доход</t>
  </si>
  <si>
    <t>Какой уровень (A1–C1)?; Дети или взрослые?; Есть ли сертификат?; Сколько часов в неделю?</t>
  </si>
  <si>
    <t>Категория; Формат работы; График; Уровень навыков; Образование; Средний доход; Вид оплаты</t>
  </si>
  <si>
    <t>Каталог услуг → Образование → Репетитор по английскому</t>
  </si>
  <si>
    <t>Показать репетитор англ + IELTS/TOEFL + подготовка к ЕНТ (если подходит)</t>
  </si>
  <si>
    <t>Хочу готовить учеников к ЕНТ, могу онлайн и офлайн.</t>
  </si>
  <si>
    <t>Интент: подбор услуги; подготовка к экзаменам; формат гибрид; уровень высокий; цель высокий чек</t>
  </si>
  <si>
    <t>предмет; формат; опыт; доход; график</t>
  </si>
  <si>
    <t>Какие предметы?; Есть ли результаты учеников?; Онлайн/офлайн?; Какой график?</t>
  </si>
  <si>
    <t>Категория; Формат работы; Уровень навыков; Образование; Средний доход; Карьерный рост; Вид оплаты</t>
  </si>
  <si>
    <t>Каталог услуг → Образование → Подготовка к ЕНТ</t>
  </si>
  <si>
    <t>Показать ЕНТ + репетиторы предметов + IELTS (как соседние)</t>
  </si>
  <si>
    <t>У меня высокий английский, хочу преподавать IELTS онлайн, высокий доход.</t>
  </si>
  <si>
    <t>Интент: подбор услуги; IELTS; формат удалённо; уровень высокий; цель высокий доход</t>
  </si>
  <si>
    <t>уровень; формат; сертификаты; доход; кейсы</t>
  </si>
  <si>
    <t>Есть ли собственный IELTS/TOEFL?; Есть ли результаты учеников?; Онлайн строго?; Какой ценовой сегмент?</t>
  </si>
  <si>
    <t>Категория; Формат работы; Уровень навыков; Образование; Средний доход; Порог входа; Карьерный рост</t>
  </si>
  <si>
    <t>Каталог услуг → Образование → IELTS/TOEFL</t>
  </si>
  <si>
    <t>Показать IELTS/TOEFL + репетитор англ + курсы SMM (если хочет ещё)</t>
  </si>
  <si>
    <t>Хочу репетиторить физику/химию, лучше по вечерам, можно онлайн.</t>
  </si>
  <si>
    <t>Интент: подбор услуги; репетитор; формат удалённо/гибрид; слоты вечер; уровень высокий</t>
  </si>
  <si>
    <t>предмет; формат; слоты; образование; доход</t>
  </si>
  <si>
    <t>Какие классы?; Подготовка к ЕНТ?; Онлайн/офлайн?; Сколько часов в неделю?</t>
  </si>
  <si>
    <t>Категория; Формат работы; Слоты времени; Образование; Уровень навыков; Средний доход</t>
  </si>
  <si>
    <t>Каталог услуг → Образование → Физика/химия репетитор</t>
  </si>
  <si>
    <t>Показать репетитор предметов + подготовка к ЕНТ</t>
  </si>
  <si>
    <t>Образование/IT</t>
  </si>
  <si>
    <t>Хочу обучать Excel, могу онлайн, есть опыт в офисе.</t>
  </si>
  <si>
    <t>Интент: подбор услуги; обучение; формат удалённо; навык Excel; цель доход</t>
  </si>
  <si>
    <t>уровень; формат; аудитория; доход; график</t>
  </si>
  <si>
    <t>Для кого обучение (начинающие/офис)?; Онлайн или офлайн?; Есть ли программа/материалы?; Сколько часов?</t>
  </si>
  <si>
    <t>Каталог услуг → Образование → Excel обучение</t>
  </si>
  <si>
    <t>Показать Excel обучение + Power BI обучение + BI аналитик как рост</t>
  </si>
  <si>
    <t>Хочу обучать Power BI, есть опыт аналитики, хочу высокий чек онлайн.</t>
  </si>
  <si>
    <t>Интент: подбор услуги; обучение Power BI; формат удалённо; уровень высокий; цель высокий доход</t>
  </si>
  <si>
    <t>уровень; формат; опыт; доход; материалы</t>
  </si>
  <si>
    <t>Есть ли кейсы/портфолио?; Для кого обучение?; Группы или индивидуально?; Сколько часов?</t>
  </si>
  <si>
    <t>Категория; Формат работы; Уровень навыков; Средний доход; Карьерный рост; Вид оплаты</t>
  </si>
  <si>
    <t>Каталог услуг → Образование → Power BI обучение</t>
  </si>
  <si>
    <t>Показать Power BI обучение + BI аналитик + Excel обучение (ступени)</t>
  </si>
  <si>
    <t>Образование/Маркетинг</t>
  </si>
  <si>
    <t>Хочу обучать SMM, запускать мини-курс, можно онлайн.</t>
  </si>
  <si>
    <t>Интент: подбор услуги; обучение SMM; формат удалённо; уровень средний/высокий; цель монетизация</t>
  </si>
  <si>
    <t>формат; программа; кейсы; доход; аудитория</t>
  </si>
  <si>
    <t>Есть ли кейсы/результаты?; Групповой курс или индивидуально?; Сколько длится курс?; Какой ценовой сегмент?</t>
  </si>
  <si>
    <t>Категория; Формат работы; Уровень навыков; Средний доход; Карьерный рост; Порог входа; Вид оплаты</t>
  </si>
  <si>
    <t>Каталог услуг → Образование → Курсы SMM</t>
  </si>
  <si>
    <t>Показать курсы SMM + продюсер онлайн-курсов (если появится) + SMM-ведение</t>
  </si>
  <si>
    <t>Хочу преподавать музыку, можно детям, по вечерам и выходным.</t>
  </si>
  <si>
    <t>Интент: подбор услуги; обучение музыка; формат офлайн/гибрид; слоты вечер/выходные</t>
  </si>
  <si>
    <t>инструмент; формат; слоты; уровень; доход</t>
  </si>
  <si>
    <t>Какой инструмент?; Онлайн возможно?; Для какого возраста?; Есть ли опыт преподавания?</t>
  </si>
  <si>
    <t>Категория; Формат работы; Слоты времени; Уровень навыков; Необходимый инвентарь; Средний доход</t>
  </si>
  <si>
    <t>Каталог услуг → Образование → Музыка</t>
  </si>
  <si>
    <t>Показать уроки музыки + подготовка к школе (если педагогический опыт)</t>
  </si>
  <si>
    <t>Хочу готовить детей к школе, можно офлайн у себя или онлайн.</t>
  </si>
  <si>
    <t>Интент: подбор услуги; подготовка к школе; формат гибрид; аудитория дети; цель стабильность</t>
  </si>
  <si>
    <t>формат; возраст детей; график; доход</t>
  </si>
  <si>
    <t>Сколько лет детям?; Онлайн возможно?; Есть ли педагогическое образование?; Какой график?</t>
  </si>
  <si>
    <t>Категория; Формат работы; Образование; Уровень навыков; График; Средний доход</t>
  </si>
  <si>
    <t>Каталог услуг → Образование → Подготовка к школе</t>
  </si>
  <si>
    <t>Показать подготовка к школе + репетиторство + аниматор (если любит детей)</t>
  </si>
  <si>
    <t>Юр/Фин/Бизнес</t>
  </si>
  <si>
    <t>Я юрист, хочу консультировать по договорам, желательно онлайн.</t>
  </si>
  <si>
    <t>Интент: подбор услуги; юрист; формат удалённо/гибрид; уровень высокий; цель доход</t>
  </si>
  <si>
    <t>формат; специализация; образование; доход; опыт</t>
  </si>
  <si>
    <t>Какие договоры (услуги/аренда/поставки)?; Онлайн строго?; Есть ли кейсы?; Какой ценовой сегмент?</t>
  </si>
  <si>
    <t>Категория; Формат работы; Образование; Уровень навыков; Средний доход; Карьерный рост; Порог входа</t>
  </si>
  <si>
    <t>Каталог услуг → Юр/Фин/Бизнес → Юрист по договорам</t>
  </si>
  <si>
    <t>Показать юрист по договорам + регистрация ИП/ТОО + налоговая отчётность (смежное)</t>
  </si>
  <si>
    <t>Хочу сопровождать сделки с недвижимостью, могу офлайн и выезды.</t>
  </si>
  <si>
    <t>Интент: подбор услуги; юрист недвижимость; формат выездная/гибрид; цель высокий чек</t>
  </si>
  <si>
    <t>город; формат; опыт; доход; срочность</t>
  </si>
  <si>
    <t>В каком городе?; Сделки купля/аренда?; Нужны выезды?; Какой чек?</t>
  </si>
  <si>
    <t>Категория; Геолокация; Формат работы; Уровень навыков; Средний доход; Карьерный рост</t>
  </si>
  <si>
    <t>Каталог услуг → Юр/Фин/Бизнес → Юрист по недвижимости</t>
  </si>
  <si>
    <t>Показать юрист недвижимость + регистрация ИП/ТОО + юрист по договорам</t>
  </si>
  <si>
    <t>Я бухгалтер, хочу вести ИП/ТОО, можно удалённо, стабильный доход.</t>
  </si>
  <si>
    <t>Интент: подбор услуги; бухгалтерия; формат удалённо/гибрид; уровень высокий; цель стабильность</t>
  </si>
  <si>
    <t>формат; опыт; образование; доход; график</t>
  </si>
  <si>
    <t>Какие режимы/налоги знаете?; Сколько клиентов готовы вести?; Нужен ли офис?; Какой ценовой сегмент?</t>
  </si>
  <si>
    <t>Категория; Формат работы; Образование; Уровень навыков; Средний доход; График; Карьерный рост</t>
  </si>
  <si>
    <t>Каталог услуг → Юр/Фин/Бизнес → Бухгалтер ИП/ТОО</t>
  </si>
  <si>
    <t>Показать бухгалтер + налоговая отчетность + настройка 1C (если умеет)</t>
  </si>
  <si>
    <t>Хочу специализироваться на налоговой отчетности, можно проектно/сезонно.</t>
  </si>
  <si>
    <t>Интент: подбор услуги; налоги; формат удалённо; сезонность квартал/год; цель доход</t>
  </si>
  <si>
    <t>формат; сезонность; опыт; доход; график</t>
  </si>
  <si>
    <t>Есть ли опыт сдачи отчетности?; Какие режимы?; Сколько клиентов?; Нужен ли быстрый старт?</t>
  </si>
  <si>
    <t>Категория; Формат работы; Уровень навыков; Средний доход; Длительность; Карьерный рост</t>
  </si>
  <si>
    <t>Каталог услуг → Юр/Фин/Бизнес → Налоговая отчетность</t>
  </si>
  <si>
    <t>Показать налоговая отчетность + бухгалтер + регистрация ИП/ТОО</t>
  </si>
  <si>
    <t>Хочу помогать открывать ИП/ТОО, можно онлайн консультации.</t>
  </si>
  <si>
    <t>Интент: подбор услуги; регистрация бизнеса; формат удалённо; порог входа средний; цель заказы</t>
  </si>
  <si>
    <t>формат; навыки; доход; график</t>
  </si>
  <si>
    <t>Есть ли юридический/бух опыт?; Какие услуги кроме регистрации?; Сколько заявок в неделю?; Нужны ли выезды?</t>
  </si>
  <si>
    <t>Категория; Формат работы; Порог входа; Уровень навыков; Средний доход; Карьерный рост</t>
  </si>
  <si>
    <t>Каталог услуг → Юр/Фин/Бизнес → Регистрация ИП/ТОО</t>
  </si>
  <si>
    <t>Показать регистрация ИП/ТОО + бухгалтер + юрист по договорам</t>
  </si>
  <si>
    <t>Хочу делать HR-документы: договоры, приказы, трудовые. Можно удалённо.</t>
  </si>
  <si>
    <t>Интент: подбор услуги; HR документооборот; формат удалённо; уровень средний; цель стабильность</t>
  </si>
  <si>
    <t>формат; опыт; доход; график</t>
  </si>
  <si>
    <t>Есть ли опыт кадрового делопроизводства?; Какие документы?; Сколько компаний готовы вести?; Какой график?</t>
  </si>
  <si>
    <t>Категория; Формат работы; Уровень навыков; Средний доход; Карьерный рост; Порог входа</t>
  </si>
  <si>
    <t>Каталог услуг → Юр/Фин/Бизнес → HR-документы</t>
  </si>
  <si>
    <t>Показать HR-документы + бизнес-консультант + бухгалтер (смежное)</t>
  </si>
  <si>
    <t>Хочу помогать бизнесу со стратегией и процессами, высокий чек, проектно.</t>
  </si>
  <si>
    <t>Интент: подбор услуги; консалтинг; формат гибрид/удалённо; уровень высокий; цель высокий доход</t>
  </si>
  <si>
    <t>формат; опыт; доход; длительность; портфолио</t>
  </si>
  <si>
    <t>Какие ниши?; Есть ли кейсы?; Проект 2–6 недель ок?; Какой ценовой сегмент?</t>
  </si>
  <si>
    <t>Каталог услуг → Юр/Фин/Бизнес → Бизнес-консультант</t>
  </si>
  <si>
    <t>Показать бизнес-консультант + финконсультант + тендер-специалист (комплекс)</t>
  </si>
  <si>
    <t>Хочу консультировать по финансам, бюджету, инвестициям, можно онлайн.</t>
  </si>
  <si>
    <t>Интент: подбор услуги; финконсультант; формат удалённо; уровень высокий; цель доход</t>
  </si>
  <si>
    <t>формат; образование; опыт; доход; специализация</t>
  </si>
  <si>
    <t>Какая специализация (личные финансы/бизнес)?; Есть ли кейсы?; Онлайн строго?; Какой чек?</t>
  </si>
  <si>
    <t>Каталог услуг → Юр/Фин/Бизнес → Финансовый консультант</t>
  </si>
  <si>
    <t>Показать финконсультант + бухгалтер + бизнес-консультант</t>
  </si>
  <si>
    <t>Хочу работать тендер-специалистом, удалённо, проектно.</t>
  </si>
  <si>
    <t>Интент: подбор услуги; тендеры; формат удалённо; уровень средний/высокий; цель доход</t>
  </si>
  <si>
    <t>формат; опыт; отрасль; доход; сроки</t>
  </si>
  <si>
    <t>Есть ли опыт госзакупок?; Какой рынок/ниша?; Проектно или постоянно?; Какой график?</t>
  </si>
  <si>
    <t>Каталог услуг → Юр/Фин/Бизнес → Тендер-специалист</t>
  </si>
  <si>
    <t>Показать тендер-специалист + юрист по договорам + бухгалтер (пакет)</t>
  </si>
  <si>
    <t>Хочу помогать людям с резюме и карьерой, можно онлайн.</t>
  </si>
  <si>
    <t>Интент: подбор услуги; карьерный консультант; формат удалённо; уровень средний; цель доход</t>
  </si>
  <si>
    <t>формат; опыт; аудитория; доход; график</t>
  </si>
  <si>
    <t>Для кого (студенты/специалисты)?; Делаете ли интервью/LinkedIn?; Сколько клиентов в неделю?; Какой чек?</t>
  </si>
  <si>
    <t>Категория; Формат работы; Уровень навыков; Средний доход; Порог входа; Карьерный рост</t>
  </si>
  <si>
    <t>Каталог услуг → Юр/Фин/Бизнес → Карьерный консультант</t>
  </si>
  <si>
    <t>Показать карьерный консультант + копирайтер (резюме) + психолог (если хочет)</t>
  </si>
  <si>
    <t>Хочу вести магазин в Kaspi: карточки, акции, ответы, можно удалённо.</t>
  </si>
  <si>
    <t>Интент: подбор услуги; маркетплейс; формат удалённо; навыки менеджмент; цель доход</t>
  </si>
  <si>
    <t>формат; опыт; график; доход; навыки</t>
  </si>
  <si>
    <t>Есть ли опыт Kaspi?; Сколько товаров/магазинов готовы вести?; Нужны ли ответы в чат?; Какой график?</t>
  </si>
  <si>
    <t>Категория; Формат работы; Уровень навыков; Средний доход; Карьерный рост; Тип занятости</t>
  </si>
  <si>
    <t>Каталог услуг → Маркетинг/Digital → Менеджер Kaspi</t>
  </si>
  <si>
    <t>Показать менеджер Kaspi + оформление карточек товара + логист маркетплейсов</t>
  </si>
  <si>
    <t>Хочу быть менеджером WB, вести товары и продажи, можно удалённо.</t>
  </si>
  <si>
    <t>Интент: подбор услуги; маркетплейсы; формат удалённо; уровень средний; цель доход</t>
  </si>
  <si>
    <t>формат; опыт; график; доход</t>
  </si>
  <si>
    <t>Есть ли опыт WB?; Умеете ли работать с аналитикой/рекламой?; Сколько товаров вести?; Какой график?</t>
  </si>
  <si>
    <t>Категория; Формат работы; Уровень навыков; Средний доход; Карьерный рост</t>
  </si>
  <si>
    <t>Каталог услуг → Маркетинг/Digital → Менеджер Wildberries</t>
  </si>
  <si>
    <t>Показать менеджер WB + реклама маркетплейса + фулфилмент/упаковка</t>
  </si>
  <si>
    <t>Хочу делать карточки товара: фото, описание, SEO, можно удалённо.</t>
  </si>
  <si>
    <t>Интент: подбор услуги; контент маркетплейсов; формат удалённо; навыки текст/дизайн; цель доход</t>
  </si>
  <si>
    <t>формат; навыки; инвентарь; доход</t>
  </si>
  <si>
    <t>В каких маркетплейсах?; Делаете ли дизайн/инфографику?; Есть ли примеры?; Сколько карточек в неделю?</t>
  </si>
  <si>
    <t>Категория; Формат работы; Уровень навыков; Необходимый инвентарь; Средний доход; Вид оплаты</t>
  </si>
  <si>
    <t>Каталог услуг → Маркетинг/Digital → Оформление карточек товара</t>
  </si>
  <si>
    <t>Показать оформление карточек + копирайтер + графдизайнер</t>
  </si>
  <si>
    <t>Есть камера, хочу снимать товары для маркетплейсов, выездная или у себя.</t>
  </si>
  <si>
    <t>Интент: подбор услуги; предметная съемка; формат выездная/офлайн; инвентарь камера/свет; цель высокий чек</t>
  </si>
  <si>
    <t>формат; инвентарь; портфолио; доход</t>
  </si>
  <si>
    <t>Есть ли свет/фон?; Где будете снимать?; Какие товары?; Делаете ли обработку?</t>
  </si>
  <si>
    <t>Категория; Формат работы; Необходимый инвентарь; Уровень навыков; Средний доход; Геолокация</t>
  </si>
  <si>
    <t>Каталог услуг → Маркетинг/Digital → Предметная фотосъемка</t>
  </si>
  <si>
    <t>Показать предметная съемка + оформление карточек + видеомонтажер (для видео товара)</t>
  </si>
  <si>
    <t>Логистика/Маркетплейсы</t>
  </si>
  <si>
    <t>Хочу работать на упаковке заказов маркетплейсов, офлайн, по сменам.</t>
  </si>
  <si>
    <t>Интент: подбор услуги; фулфилмент; формат офлайн; график сменный; порог входа низкий</t>
  </si>
  <si>
    <t>В каком городе?; Готовы к сменам?; Есть ли опыт склад/упаковка?; Какой график?</t>
  </si>
  <si>
    <t>Каталог услуг → Логистика → Фулфилмент/упаковка</t>
  </si>
  <si>
    <t>Показать фулфилмент + мерчендайзер + промоутер (если хочет альтернативы)</t>
  </si>
  <si>
    <t>Сервис/Поддержка</t>
  </si>
  <si>
    <t>Хочу работать из дома оператором чата, без звонков, гибкий график.</t>
  </si>
  <si>
    <t>Интент: подбор услуги; поддержка; формат удалённо; предпочтение чат; график сменный/гибкий</t>
  </si>
  <si>
    <t>формат; график; слоты; язык; доход</t>
  </si>
  <si>
    <t>Какие смены удобны?; Есть ли опыт общения с клиентами?; Какие языки?; Нужен ли быстрый старт?</t>
  </si>
  <si>
    <t>Категория; Формат работы; График; Слоты времени; Уровень навыков; Необходимый инвентарь; Средний доход; Порог входа</t>
  </si>
  <si>
    <t>Каталог услуг → Сервис/Поддержка → Оператор чата поддержки</t>
  </si>
  <si>
    <t>Показать оператор чата + техподдержка Helpdesk + копирайтер (альтернатива)</t>
  </si>
  <si>
    <t>Хочу настраивать рекламу в маркетплейсе (Kaspi/WB), удалённо.</t>
  </si>
  <si>
    <t>Интент: подбор услуги; реклама маркетплейсов; формат удалённо; уровень средний/высокий; цель высокий доход</t>
  </si>
  <si>
    <t>платформа; формат; уровень; кейсы; доход</t>
  </si>
  <si>
    <t>Какая платформа?; Есть ли опыт рекламных кабинетов?; Какие бюджеты готовы вести?; Нужны ли отчёты?</t>
  </si>
  <si>
    <t>Каталог услуг → Маркетинг/Digital → Реклама маркетплейса</t>
  </si>
  <si>
    <t>Показать реклама МП + менеджер Kaspi/WB + BI (если про аналитику)</t>
  </si>
  <si>
    <t>Хочу заниматься логистикой маркетплейсов: поставки, склады, документы.</t>
  </si>
  <si>
    <t>Интент: подбор услуги; логистика МП; формат гибрид/офлайн; уровень средний; цель стабильность</t>
  </si>
  <si>
    <t>формат; город; опыт; график; доход</t>
  </si>
  <si>
    <t>С какими МП работали?; Офлайн возможно?; Есть ли опыт с документами?; Какой график?</t>
  </si>
  <si>
    <t>Категория; Формат работы; Геолокация; Уровень навыков; Средний доход; Карьерный рост</t>
  </si>
  <si>
    <t>Каталог услуг → Логистика → Логист маркетплейсов</t>
  </si>
  <si>
    <t>Показать логист МП + фулфилмент/упаковка + менеджер МП</t>
  </si>
  <si>
    <t>Ритейл</t>
  </si>
  <si>
    <t>Хочу работать мерчендайзером, офлайн, по маршруту, стабильная подработка.</t>
  </si>
  <si>
    <t>Интент: подбор услуги; мерчендайзинг; формат офлайн/выезд; график 5/2; цель стабильность</t>
  </si>
  <si>
    <t>город; формат; график; физ активность; доход</t>
  </si>
  <si>
    <t>Готовы ходить по точкам?; В каком городе/районе?; Какой график?; Есть ли опыт?</t>
  </si>
  <si>
    <t>Категория; Формат работы; Геолокация; График; Физ. активность; Средний доход; Порог входа</t>
  </si>
  <si>
    <t>Каталог услуг → Ритейл → Мерчендайзер</t>
  </si>
  <si>
    <t>Показать мерчендайзер + промоутер + курьер пеший (если нужно)</t>
  </si>
  <si>
    <t>Ритейл/Маркетинг</t>
  </si>
  <si>
    <t>Хочу подработку промоутером по выходным, раздача листовок/акции.</t>
  </si>
  <si>
    <t>Интент: подбор услуги; промоутер; формат офлайн; слоты выходные; порог входа низкий</t>
  </si>
  <si>
    <t>город; слоты; график; доход</t>
  </si>
  <si>
    <t>В каком городе?; По сколько часов готовы?; Общение с людьми ок?; Нужна ли ежедневная работа?</t>
  </si>
  <si>
    <t>Каталог услуг → Ритейл → Промоутер</t>
  </si>
  <si>
    <t>Показать промоутер + мерчендайзер + аниматор (если любит активность)</t>
  </si>
  <si>
    <t>Производство/Услуги</t>
  </si>
  <si>
    <t>Умею шить, хочу заказы, можно дома или в ателье.</t>
  </si>
  <si>
    <t>Интент: подбор услуги; швея; формат офлайн/гибрид; инвентарь швейная машина; цель доход</t>
  </si>
  <si>
    <t>формат; инвентарь; навыки; доход</t>
  </si>
  <si>
    <t>Есть ли машина/оверлок?; Какие изделия шьёте?; Берёте ли срочные заказы?; Какой ценовой сегмент?</t>
  </si>
  <si>
    <t>Категория; Формат работы; Необходимый инвентарь; Уровень навыков; Средний доход; Карьерный рост</t>
  </si>
  <si>
    <t>Каталог услуг → Производство/Услуги → Швея/ателье</t>
  </si>
  <si>
    <t>Показать швея + ремонт одежды + изготовление штор</t>
  </si>
  <si>
    <t>Хочу делать ремонт одежды (подшив, молнии), можно дома.</t>
  </si>
  <si>
    <t>Интент: подбор услуги; ремонт одежды; формат офлайн; порог входа низкий/средний; цель быстрый старт</t>
  </si>
  <si>
    <t>формат; инвентарь; график; доход</t>
  </si>
  <si>
    <t>Есть ли швейная машина?; Какие виды ремонта?; Сколько заказов готовы?; Нужна ли доставка?</t>
  </si>
  <si>
    <t>Категория; Формат работы; Необходимый инвентарь; Порог входа; Средний доход; График</t>
  </si>
  <si>
    <t>Каталог услуг → Производство/Услуги → Ремонт одежды</t>
  </si>
  <si>
    <t>Показать ремонт одежды + швея/ателье + вышивка/принт</t>
  </si>
  <si>
    <t>Хочу шить шторы на заказ, замеры, пошив, установка.</t>
  </si>
  <si>
    <t>Интент: подбор услуги; шторы; формат офлайн/выезд; инвентарь; проекты; доход</t>
  </si>
  <si>
    <t>формат; инвентарь; навыки; доход; длительность</t>
  </si>
  <si>
    <t>Делаете ли замеры?; Есть ли оборудование?; В каком городе?; Какой ценовой сегмент?</t>
  </si>
  <si>
    <t>Категория; Формат работы; Геолокация; Необходимый инвентарь; Уровень навыков; Средний доход; Длительность</t>
  </si>
  <si>
    <t>Каталог услуг → Производство/Услуги → Изготовление штор</t>
  </si>
  <si>
    <t>Показать шторы + швея/ателье + декоратор (смежно)</t>
  </si>
  <si>
    <t>Хочу делать вышивку/принт, мерч, можно принимать заказы онлайн.</t>
  </si>
  <si>
    <t>Интент: подбор услуги; производство мерча; формат гибрид; инвентарь оборудование; цель доход</t>
  </si>
  <si>
    <t>Есть ли оборудование?; Какие объемы готовы?; Делаете дизайн?; Какой срок изготовления?</t>
  </si>
  <si>
    <t>Категория; Формат работы; Необходимый инвентарь; Уровень навыков; Средний доход; Порог входа; Карьерный рост</t>
  </si>
  <si>
    <t>Каталог услуг → Производство/Услуги → Вышивка/принт</t>
  </si>
  <si>
    <t>Показать вышивка/принт + сувенирка/мерч + полиграфия</t>
  </si>
  <si>
    <t>Хочу делать визитки/баннеры, дизайн и печать, работать с бизнесом.</t>
  </si>
  <si>
    <t>Интент: подбор услуги; полиграфия; формат офлайн/гибрид; инвентарь печать; цель доход</t>
  </si>
  <si>
    <t>Есть ли своя печать или через подрядчика?; Делаете дизайн?; Какие сроки?; Какой ценовой сегмент?</t>
  </si>
  <si>
    <t>Каталог услуг → Производство/Услуги → Полиграфия</t>
  </si>
  <si>
    <t>Показать полиграфия + изготовление вывесок + графдизайнер</t>
  </si>
  <si>
    <t>Хочу делать вывески для бизнеса, нужен поток заказов, офлайн.</t>
  </si>
  <si>
    <t>Интент: подбор услуги; вывески; формат офлайн/выезд; инвентарь оборудование; цель высокий чек</t>
  </si>
  <si>
    <t>город; формат; инвентарь; доход; безопасность</t>
  </si>
  <si>
    <t>Есть ли оборудование/цех?; Делаете монтаж?; В каком городе?; Какие материалы?</t>
  </si>
  <si>
    <t>Каталог услуг → Производство/Услуги → Изготовление вывесок</t>
  </si>
  <si>
    <t>Показать вывески + гравировка/резка + сварочные изделия (смежно)</t>
  </si>
  <si>
    <t>Хочу делать изделия из металла на заказ: решетки, ворота, мебель.</t>
  </si>
  <si>
    <t>Интент: подбор услуги; сварочные изделия; формат офлайн/выезд; инвентарь оборудование; тяжелый труд</t>
  </si>
  <si>
    <t>формат; инвентарь; физ активность; доход; проекты</t>
  </si>
  <si>
    <t>Какие изделия?; Есть ли оборудование?; Делаете замеры/монтаж?; В каком городе?</t>
  </si>
  <si>
    <t>Каталог услуг → Производство/Услуги → Сварочные изделия на заказ</t>
  </si>
  <si>
    <t>Показать сварочные изделия + мебель на заказ + установка замков/дверей (если будет)</t>
  </si>
  <si>
    <t>Хочу делать мерч и сувениры, принимать заказы онлайн, производство офлайн.</t>
  </si>
  <si>
    <t>Интент: подбор услуги; мерч; формат гибрид; инвентарь производство; цель доход</t>
  </si>
  <si>
    <t>Что производите (кружки/футболки)?; Есть ли дизайн?; Какие объемы?; Сроки?</t>
  </si>
  <si>
    <t>Каталог услуг → Производство/Услуги → Сувенирка/мерч</t>
  </si>
  <si>
    <t>Показать сувенирка + вышивка/принт + гравировка/резка</t>
  </si>
  <si>
    <t>Хочу делать гравировку, лазерную резку, работать с бизнесом.</t>
  </si>
  <si>
    <t>Интент: подбор услуги; гравировка/резка; формат офлайн; инвентарь станок; цель высокий чек</t>
  </si>
  <si>
    <t>инвентарь; материалы; доход; сроки</t>
  </si>
  <si>
    <t>Есть ли станок?; Какие материалы?; Делаете дизайн макеты?; Какие сроки изготовления?</t>
  </si>
  <si>
    <t>Каталог услуг → Производство/Услуги → Гравировка/резка</t>
  </si>
  <si>
    <t>Показать гравировка + вывески + сувенирка/мерч</t>
  </si>
  <si>
    <t>Хочу работать на сборке изделий в цеху, офлайн, сменный график.</t>
  </si>
  <si>
    <t>Интент: подбор услуги; цех/сборка; формат офлайн; порог входа низкий; физ нагрузка</t>
  </si>
  <si>
    <t>В каком городе?; Готовы к сменам?; Есть ли опыт в цеху?; Какие часы удобны?</t>
  </si>
  <si>
    <t>Каталог услуг → Производство/Услуги → Сборка изделий (цех)</t>
  </si>
  <si>
    <t>Показать сборка изделий + фулфилмент/упаковка + грузчики (если нужно)</t>
  </si>
  <si>
    <t>Люблю собак, хочу выгуливать по району, подработка вечером.</t>
  </si>
  <si>
    <t>Интент: подбор услуги; выгул собак; формат выездная; слоты вечер; порог входа низкий</t>
  </si>
  <si>
    <t>город; слоты; формат; опыт; доход</t>
  </si>
  <si>
    <t>Есть ли опыт с собаками?; Какие породы/размеры?; В каком районе?; Сколько выгулов в день?</t>
  </si>
  <si>
    <t>Категория; Формат работы; Геолокация; Слоты времени; Порог входа; Средний доход</t>
  </si>
  <si>
    <t>Каталог услуг → Питомцы → Выгул собак</t>
  </si>
  <si>
    <t>Показать выгул собак + передержка + зооняня</t>
  </si>
  <si>
    <t>Могу брать животных на передержку дома, хочу заказы.</t>
  </si>
  <si>
    <t>Интент: подбор услуги; передержка; формат офлайн; условия дома; требования безопасность</t>
  </si>
  <si>
    <t>условия; формат; график; доход</t>
  </si>
  <si>
    <t>Какие животные (кошки/собаки)?; Есть ли условия/клетка?; На сколько дней?; Есть ли аллергия/ограничения?</t>
  </si>
  <si>
    <t>Категория; Формат работы; Особые требования; График; Средний доход; Геолокация</t>
  </si>
  <si>
    <t>Каталог услуг → Питомцы → Передержка</t>
  </si>
  <si>
    <t>Показать передержка + зооняня + зоотакси</t>
  </si>
  <si>
    <t>Хочу делать груминг, есть инструменты, можно на дому или выезд.</t>
  </si>
  <si>
    <t>Интент: подбор услуги; груминг; формат офлайн/выезд; инвентарь машинка; цель доход</t>
  </si>
  <si>
    <t>формат; инвентарь; опыт; доход</t>
  </si>
  <si>
    <t>Есть ли обучение?; Какие породы?; Где будете работать?; Какой график?</t>
  </si>
  <si>
    <t>Каталог услуг → Питомцы → Груминг</t>
  </si>
  <si>
    <t>Показать груминг + стрижка когтей/уход + выгул собак</t>
  </si>
  <si>
    <t>Хочу дрессировать собак, есть опыт, хочу выезды и высокий чек.</t>
  </si>
  <si>
    <t>Интент: подбор услуги; дрессировка; формат выездная; уровень высокий; цель высокий доход</t>
  </si>
  <si>
    <t>город; формат; опыт; доход; безопасность</t>
  </si>
  <si>
    <t>С какими проблемами работаете?; Есть ли сертификаты/опыт?; Где проводите занятия?; Какой график?</t>
  </si>
  <si>
    <t>Категория; Формат работы; Геолокация; Уровень навыков; Средний доход; Особые требования; Карьерный рост</t>
  </si>
  <si>
    <t>Каталог услуг → Питомцы → Дрессировка</t>
  </si>
  <si>
    <t>Показать дрессировка + выгул + зооняня (если хочет расширить)</t>
  </si>
  <si>
    <t>Хочу быть зооняней: приходить кормить/гулять, можно по району.</t>
  </si>
  <si>
    <t>Интент: подбор услуги; зооняня; формат выездная; геолокация важна; цель подработка</t>
  </si>
  <si>
    <t>город; формат; график; доход</t>
  </si>
  <si>
    <t>Какие животные?; Сколько визитов в день?; В каком районе?; Есть ли опыт/отзывы?</t>
  </si>
  <si>
    <t>Категория; Формат работы; Геолокация; График; Средний доход; Порог входа</t>
  </si>
  <si>
    <t>Каталог услуг → Питомцы → Зооняня</t>
  </si>
  <si>
    <t>Показать зооняня + уход за котами + выгул собак</t>
  </si>
  <si>
    <t>Питомцы/Логистика</t>
  </si>
  <si>
    <t>Есть авто, хочу возить животных к ветеринару/грумеру.</t>
  </si>
  <si>
    <t>Интент: подбор услуги; зоотакси; формат выездная; инвентарь авто; требования безопасность</t>
  </si>
  <si>
    <t>город; формат; инвентарь; слоты; доход</t>
  </si>
  <si>
    <t>Есть ли переноска/ремни?; В каком городе?; Готовы к срочным вызовам?; Какой график?</t>
  </si>
  <si>
    <t>Категория; Формат работы; Геолокация; Необходимый инвентарь; Слоты времени; Средний доход</t>
  </si>
  <si>
    <t>Каталог услуг → Питомцы → Зоотакси</t>
  </si>
  <si>
    <t>Показать зоотакси + передержка + зооняня (комбо)</t>
  </si>
  <si>
    <t>Хочу приходить к котам: кормить, лоток, играть, по району.</t>
  </si>
  <si>
    <t>Интент: подбор услуги; уход за котами; формат выездная; геолокация; порог входа низкий</t>
  </si>
  <si>
    <t>Сколько визитов нужно?; В каком районе?; Есть ли опыт?; На какой срок?</t>
  </si>
  <si>
    <t>Категория; Формат работы; Геолокация; График; Порог входа; Средний доход</t>
  </si>
  <si>
    <t>Каталог услуг → Питомцы → Уход за котами</t>
  </si>
  <si>
    <t>Показать уход за котами + зооняня + передержка</t>
  </si>
  <si>
    <t>Хочу делать базовый уход животным: когти, чистка, можно на выезде.</t>
  </si>
  <si>
    <t>Интент: подбор услуги; уход за питомцами; формат выездная; инвентарь инструменты; порог входа средний</t>
  </si>
  <si>
    <t>Есть ли инструменты?; Какие животные?; Есть ли обучение?; Какой график?</t>
  </si>
  <si>
    <t>Каталог услуг → Питомцы → Уход/когти</t>
  </si>
  <si>
    <t>Показать уход/когти + груминг + зооняня</t>
  </si>
  <si>
    <t>Дом/Участок</t>
  </si>
  <si>
    <t>Хочу убирать снег зимой, брать заказы по району, готов к физ работе.</t>
  </si>
  <si>
    <t>Интент: подбор услуги; сезонная работа; уборка снега; формат выездная; тяжелый труд</t>
  </si>
  <si>
    <t>город; сезонность; формат; физ активность; доход</t>
  </si>
  <si>
    <t>Есть ли лопаты/инвентарь?; В каком районе?; Готовы рано утром?; Какой график?</t>
  </si>
  <si>
    <t>Каталог услуг → Дом/Участок → Уборка снега</t>
  </si>
  <si>
    <t>Показать уборка снега + чистка территории + покос травы (сезонно)</t>
  </si>
  <si>
    <t>Хочу косить траву летом, можно с триммером, выездная работа.</t>
  </si>
  <si>
    <t>Интент: подбор услуги; покос; сезонность лето; формат выездная; инвентарь триммер</t>
  </si>
  <si>
    <t>город; сезонность; формат; инвентарь; доход</t>
  </si>
  <si>
    <t>Есть ли триммер?; В каком районе?; Готовы к жаре/физ нагрузке?; Какой график?</t>
  </si>
  <si>
    <t>Категория; Формат работы; Геолокация; Необходимый инвентарь; Физ. активность; Тяжелый физтруд; Средний доход</t>
  </si>
  <si>
    <t>Каталог услуг → Дом/Участок → Покос травы</t>
  </si>
  <si>
    <t>Показать покос травы + садовник + чистка территории</t>
  </si>
  <si>
    <t>Люблю растения, хочу работать садовником, регулярные выезды.</t>
  </si>
  <si>
    <t>Интент: подбор услуги; садовник; формат выездная; график регулярный; физ нагрузка</t>
  </si>
  <si>
    <t>город; формат; график; инвентарь; доход</t>
  </si>
  <si>
    <t>Есть ли опыт?; Какие работы (полив/посадка/уход)?; В каком районе?; Сколько дней в неделю?</t>
  </si>
  <si>
    <t>Категория; Формат работы; Геолокация; График; Физ. активность; Необходимый инвентарь; Средний доход</t>
  </si>
  <si>
    <t>Каталог услуг → Дом/Участок → Садовник</t>
  </si>
  <si>
    <t>Показать садовник + озеленение + капельный полив монтаж</t>
  </si>
  <si>
    <t>Хочу делать озеленение участков, проектно, с командой.</t>
  </si>
  <si>
    <t>Интент: подбор услуги; озеленение; формат выездная; проекты; уровень средний/высокий</t>
  </si>
  <si>
    <t>город; формат; команда; доход; длительность</t>
  </si>
  <si>
    <t>Есть ли команда/инструмент?; Какие проекты (газон/растения)?; В каком городе?; Какой бюджетный сегмент?</t>
  </si>
  <si>
    <t>Категория; Формат работы; Геолокация; Уровень навыков; Средний доход; Длительность; Порог входа</t>
  </si>
  <si>
    <t>Каталог услуг → Дом/Участок → Озеленение</t>
  </si>
  <si>
    <t>Показать озеленение + садовник + капельный полив</t>
  </si>
  <si>
    <t>Хочу заниматься обрезкой деревьев, понимаю что опасно, выезды.</t>
  </si>
  <si>
    <t>Интент: подбор услуги; обрезка деревьев; формат выездная; особые требования безопасность; тяжелый труд</t>
  </si>
  <si>
    <t>город; формат; безопасность; инвентарь; доход</t>
  </si>
  <si>
    <t>Есть ли снаряжение?; Готовы работать на высоте?; В каком районе?; Какой график?</t>
  </si>
  <si>
    <t>Категория; Формат работы; Геолокация; Особые требования; Необходимый инвентарь; Тяжелый физтруд; Средний доход</t>
  </si>
  <si>
    <t>Каталог услуг → Дом/Участок → Обрезка деревьев</t>
  </si>
  <si>
    <t>Показать обрезка деревьев + чистка территории + уборка снега (сезонные работы)</t>
  </si>
  <si>
    <t>Хочу чистить дворы/участки, выезды, можно регулярно.</t>
  </si>
  <si>
    <t>Интент: подбор услуги; чистка территории; формат выездная; физ нагрузка; порог входа низкий</t>
  </si>
  <si>
    <t>В каком районе?; Какие работы (листья/мусор)?; Есть ли инвентарь?; Какой график?</t>
  </si>
  <si>
    <t>Категория; Формат работы; Геолокация; График; Физ. активность; Тяжелый физтруд; Средний доход</t>
  </si>
  <si>
    <t>Каталог услуг → Дом/Участок → Чистка территории</t>
  </si>
  <si>
    <t>Показать чистка территории + вывоз хлама + уборка снега/покос (сезонно)</t>
  </si>
  <si>
    <t>Хочу ставить капельный полив, есть опыт с трубами, выездная работа.</t>
  </si>
  <si>
    <t>Интент: подбор услуги; монтаж полива; формат выездная; уровень средний; инвентарь инструмент</t>
  </si>
  <si>
    <t>город; формат; инвентарь; доход</t>
  </si>
  <si>
    <t>Есть ли опыт монтажа?; Какие участки (дача/теплица)?; В каком городе?; Какой график?</t>
  </si>
  <si>
    <t>Каталог услуг → Дом/Участок → Капельный полив монтаж</t>
  </si>
  <si>
    <t>Показать капельный полив + садовник + озеленение</t>
  </si>
  <si>
    <t>Безопасность/Сети</t>
  </si>
  <si>
    <t>Хочу устанавливать камеры, могу выезжать, есть инструмент.</t>
  </si>
  <si>
    <t>Интент: подбор услуги; видеонаблюдение; формат выездная; уровень средний; инвентарь инструмент</t>
  </si>
  <si>
    <t>город; формат; инвентарь; навыки; доход</t>
  </si>
  <si>
    <t>Есть ли опыт?; Умеете настраивать запись/доступ?; В каком городе?; Нужен ли монтаж кабеля?</t>
  </si>
  <si>
    <t>Каталог услуг → Безопасность/Сети → Монтаж видеонаблюдения</t>
  </si>
  <si>
    <t>Показать видеонаблюдение + установка сигнализации + настройка сети офиса</t>
  </si>
  <si>
    <t>Хочу ставить охранные сигнализации, выезды, можно проектно.</t>
  </si>
  <si>
    <t>Интент: подбор услуги; сигнализация; формат выездная; уровень средний; инвентарь инструмент</t>
  </si>
  <si>
    <t>Какие системы ставите?; Есть ли опыт?; В каком городе?; Готовы к срочным вызовам?</t>
  </si>
  <si>
    <t>Каталог услуг → Безопасность/Сети → Установка сигнализации</t>
  </si>
  <si>
    <t>Показать сигнализация + видеонаблюдение + домофон/СКУД</t>
  </si>
  <si>
    <t>Хочу устанавливать домофоны и СКУД в офисах/подъездах.</t>
  </si>
  <si>
    <t>Интент: подбор услуги; домофон/СКУД; формат выездная; клиенты офис/ЖК; уровень средний</t>
  </si>
  <si>
    <t>Есть ли опыт СКУД?; Нужен ли монтаж кабеля?; В каком городе?; Проектно или постоянно?</t>
  </si>
  <si>
    <t>Каталог услуг → Безопасность/Сети → Домофон/СКУД</t>
  </si>
  <si>
    <t>Показать домофон/СКУД + монтаж кабеля + настройка сети офиса</t>
  </si>
  <si>
    <t>Хочу делать умный дом: датчики, сценарии, управление, высокий чек.</t>
  </si>
  <si>
    <t>Интент: подбор услуги; умный дом; формат выездная/гибрид; уровень высокий; цель высокий доход</t>
  </si>
  <si>
    <t>Какие системы (Tuya/Aqara/HomeKit)?; Есть ли опыт интеграций?; Нужен ли монтаж?; Какой ценовой сегмент?</t>
  </si>
  <si>
    <t>Категория; Формат работы; Геолокация; Уровень навыков; Необходимый инвентарь; Средний доход; Порог входа; Карьерный рост</t>
  </si>
  <si>
    <t>Каталог услуг → Безопасность/Сети → Умный дом</t>
  </si>
  <si>
    <t>Показать умный дом + видеонаблюдение + настройка сети офиса (пакеты)</t>
  </si>
  <si>
    <t>Хочу тянуть витую пару в офисах/домах, выездная работа.</t>
  </si>
  <si>
    <t>Интент: подбор услуги; монтаж кабеля; формат выездная; физ нагрузка; порог входа средний</t>
  </si>
  <si>
    <t>Есть ли инструмент (обжимка/тестер)?; Готовы работать на высоте?; В каком городе?; Какой график?</t>
  </si>
  <si>
    <t>Каталог услуг → Безопасность/Сети → Монтаж кабеля</t>
  </si>
  <si>
    <t>Показать монтаж кабеля + настройка сети офиса + видеонаблюдение</t>
  </si>
  <si>
    <t>Хочу настраивать сети в офисах: роутеры, точки доступа, VPN.</t>
  </si>
  <si>
    <t>Интент: подбор услуги; офисная сеть; формат выездная/гибрид; уровень средний/высокий; цель доход</t>
  </si>
  <si>
    <t>город; формат; навыки; доход; срочность</t>
  </si>
  <si>
    <t>Какие задачи (Wi-Fi/VPN/сервер)?; Есть ли опыт?; Нужны ли выезды?; Какой график?</t>
  </si>
  <si>
    <t>Каталог услуг → Безопасность/Сети → Настройка сети офиса</t>
  </si>
  <si>
    <t>Показать настройка сети офиса + сетевой инженер + кибербезопасность (рост)</t>
  </si>
  <si>
    <t>Хочу устанавливать замки и сейфы, выезды, быстрые заказы.</t>
  </si>
  <si>
    <t>Интент: подбор услуги; замки/сейфы; формат выездная; срочные вызовы; порог входа средний</t>
  </si>
  <si>
    <t>город; формат; инвентарь; срочность; доход</t>
  </si>
  <si>
    <t>Есть ли инструмент?; Готовы к срочным вызовам?; В каком районе?; Какие замки (дверные/сейфовые)?</t>
  </si>
  <si>
    <t>Категория; Формат работы; Геолокация; Необходимый инвентарь; Порог входа; Средний доход; Особые требования</t>
  </si>
  <si>
    <t>Каталог услуг → Ремонт/Стройка → Установка замков/сейфов</t>
  </si>
  <si>
    <t>Показать замки/сейфы + муж на час + установка дверей (смежное)</t>
  </si>
  <si>
    <t>Фильтры по базе (какие поля)</t>
  </si>
  <si>
    <t>Нужен Frontend-разработка: проект, сроки 2 недели, бюджет до 800 000 ₸, желательно с портфолио</t>
  </si>
  <si>
    <t>Интент: IT-специалист; срок: 2 недели; бюджет: лимит; требование: портфолио/верификация</t>
  </si>
  <si>
    <t>город; язык; бюджет/прайс; срочность/дата; качество (опыт/рейтинг); верификация/квалификация; ТЗ/задача; стек/технологии; формат работы</t>
  </si>
  <si>
    <t>Что нужно сделать (ТЗ/задача)?; Какие технологии/платформа?; Дедлайн/сроки?; Есть лимит по бюджету?</t>
  </si>
  <si>
    <t>Специальность; Опыт (лет); Прайс; Верификация (AI-тест, %); Кейсы / Портфолио; Рейтинг; Статус проверки; Языки; Город; Инвентарь / Навыки</t>
  </si>
  <si>
    <t>Поиск → Уточнения → Подбор специалистов → Карточки специалистов → Чат/бронь → Оплата → Отзыв</t>
  </si>
  <si>
    <t>Показать топ-10 специалистов: прайс, опыт, верификация, рейтинг/отзывы, портфолио + кнопка «написать/заказать»</t>
  </si>
  <si>
    <t>Нужен Backend-разработка: проект, сроки 2 недели, бюджет до 800 000 ₸, желательно с портфолио</t>
  </si>
  <si>
    <t>Нужен Mobile-разработка: проект, сроки 2 недели, бюджет до 800 000 ₸, желательно с портфолио</t>
  </si>
  <si>
    <t>Нужен QA тестирование: проект, сроки 2 недели, бюджет до 800 000 ₸, желательно с портфолио</t>
  </si>
  <si>
    <t>Нужен DevOps/Cloud: проект, сроки 2 недели, бюджет до 800 000 ₸, желательно с портфолио</t>
  </si>
  <si>
    <t>Нужен Системный администратор: проект, сроки 2 недели, бюджет до 800 000 ₸, желательно с портфолио</t>
  </si>
  <si>
    <t>Нужен Сетевой инженер: проект, сроки 2 недели, бюджет до 800 000 ₸, желательно с портфолио</t>
  </si>
  <si>
    <t>Нужен Кибербезопасность (аудит): проект, сроки 2 недели, бюджет до 800 000 ₸, желательно с портфолио</t>
  </si>
  <si>
    <t>Нужен BI аналитик (Power BI): проект, сроки 2 недели, бюджет до 800 000 ₸, желательно с портфолио</t>
  </si>
  <si>
    <t>Нужен Чат-боты (Telegram/WhatsApp): проект, сроки 2 недели, бюджет до 800 000 ₸, желательно с портфолио</t>
  </si>
  <si>
    <t>Нужен No-code (Tilda/Webflow): проект, сроки 2 недели, бюджет до 800 000 ₸, желательно с портфолио</t>
  </si>
  <si>
    <t>Нужен Внедрение CRM (Bitrix24/amo): проект, сроки 2 недели, бюджет до 800 000 ₸, желательно с портфолио</t>
  </si>
  <si>
    <t>Нужен Техподдержка (Helpdesk): проект, сроки 2 недели, бюджет до 800 000 ₸, желательно с портфолио</t>
  </si>
  <si>
    <t>Нужен Настройка 1C: проект, сроки 2 недели, бюджет до 800 000 ₸, желательно с портфолио</t>
  </si>
  <si>
    <t>Ищу SMM-ведение для продвижения, бюджет средний, хочу качество и кейсы</t>
  </si>
  <si>
    <t>Интент: digital-специалист; цель: рост/продвижение; бюджет: средний; приоритет: кейсы/рейтинг</t>
  </si>
  <si>
    <t>город; язык; бюджет/прайс; срочность/дата; качество (опыт/рейтинг); верификация/квалификация; цель (лиды/охват/продажи); ниша/бизнес; срок сотрудничества</t>
  </si>
  <si>
    <t>Какая цель (лиды/охват/продажи)?; Какая ниша/продукт?; На какой срок?; Есть лимит по бюджету?</t>
  </si>
  <si>
    <t>Специальность; Город; Языки; Опыт (лет); Прайс; Ценовой сегмент; Кейсы / Портфолио; Рейтинг; Количество отзывов; Уровень по верификации; Статус проверки; Инвентарь / Навыки</t>
  </si>
  <si>
    <t>Ищу Таргетолог Meta для продвижения, бюджет средний, хочу качество и кейсы</t>
  </si>
  <si>
    <t>Ищу Контекстолог Google Ads для продвижения, бюджет средний, хочу качество и кейсы</t>
  </si>
  <si>
    <t>Ищу Копирайтер для продвижения, бюджет средний, хочу качество и кейсы</t>
  </si>
  <si>
    <t>Ищу Сценарист Reels для продвижения, бюджет средний, хочу качество и кейсы</t>
  </si>
  <si>
    <t>Ищу Графдизайнер для продвижения, бюджет средний, хочу качество и кейсы</t>
  </si>
  <si>
    <t>Ищу Брендинг/айдентика для продвижения, бюджет средний, хочу качество и кейсы</t>
  </si>
  <si>
    <t>Ищу Видеомонтажер Reels для продвижения, бюджет средний, хочу качество и кейсы</t>
  </si>
  <si>
    <t>Ищу Мобилограф для продвижения, бюджет средний, хочу качество и кейсы</t>
  </si>
  <si>
    <t>Ищу Фотограф (контент) для продвижения, бюджет средний, хочу качество и кейсы</t>
  </si>
  <si>
    <t>Ищу Продюсер блогов для продвижения, бюджет средний, хочу качество и кейсы</t>
  </si>
  <si>
    <t>Ищу SEO-специалист для продвижения, бюджет средний, хочу качество и кейсы</t>
  </si>
  <si>
    <t>Нужен Тамада на мероприятие: дата в этом месяце, Алматы, 50 гостей</t>
  </si>
  <si>
    <t>Интент: event-специалист; дата: месяц; город: Алматы; гости: 50; приоритет: опыт/отзывы</t>
  </si>
  <si>
    <t>город; язык; бюджет/прайс; срочность/дата; качество (опыт/рейтинг); верификация/квалификация; тип мероприятия; локация; длительность (часы); стиль/концепция</t>
  </si>
  <si>
    <t>Какой тип мероприятия и точная дата?; Где локация?; На сколько часов?; Какой бюджетный диапазон?</t>
  </si>
  <si>
    <t>Специальность; Город; Языки; Опыт (лет); Прайс; Ценовой сегмент; Кейсы / Портфолио; Рейтинг; Количество отзывов; Статус проверки</t>
  </si>
  <si>
    <t>Нужен DJ на мероприятие: дата в этом месяце, Алматы, 50 гостей</t>
  </si>
  <si>
    <t>Ищу Фотограф на мероприятие для продвижения, бюджет средний, хочу качество и кейсы</t>
  </si>
  <si>
    <t>Ищу Видеограф на мероприятие для продвижения, бюджет средний, хочу качество и кейсы</t>
  </si>
  <si>
    <t>Нужен Декоратор на мероприятие: дата в этом месяце, Алматы, 50 гостей</t>
  </si>
  <si>
    <t>Нужен Флорист на мероприятие: дата в этом месяце, Алматы, 50 гостей</t>
  </si>
  <si>
    <t>Нужен Фото-зона (аренда) на мероприятие: дата в этом месяце, Алматы, 50 гостей</t>
  </si>
  <si>
    <t>Нужен Свет/звук (техник) на мероприятие: дата в этом месяце, Алматы, 50 гостей</t>
  </si>
  <si>
    <t>Нужен Кейтеринг на мероприятие: дата в этом месяце, Алматы, 50 гостей</t>
  </si>
  <si>
    <t>Нужен Кондитер (торты) на мероприятие: дата в этом месяце, Алматы, 50 гостей</t>
  </si>
  <si>
    <t>Нужен Аниматор (дети) на мероприятие: дата в этом месяце, Алматы, 50 гостей</t>
  </si>
  <si>
    <t>Нужен Организатор мероприятия на мероприятие: дата в этом месяце, Алматы, 50 гостей</t>
  </si>
  <si>
    <t>Хочу Парикмахер на выходные, важно качество и стерильность, район рядом</t>
  </si>
  <si>
    <t>Интент: beauty-специалист; время: выходные; приоритет: качество/рейтинг; требование: квалификация/верификация</t>
  </si>
  <si>
    <t>город; язык; бюджет/прайс; срочность/дата; качество (опыт/рейтинг); верификация/квалификация; детали процедуры; район/локация; ценовой сегмент</t>
  </si>
  <si>
    <t>Что именно нужно (детали процедуры)?; Какое время удобно?; Какой бюджет/ценовой сегмент?; Важно ли подтверждение квалификации?</t>
  </si>
  <si>
    <t>Специальность; Город; Прайс; Ценовой сегмент; Подтверждение квалификации; Верификация (AI-тест, %); Уровень по верификации; Рейтинг; Количество отзывов; Кейсы / Портфолио; Статус проверки</t>
  </si>
  <si>
    <t>Хочу Барбер на выходные, важно качество и стерильность, район рядом</t>
  </si>
  <si>
    <t>Хочу Колорист на выходные, важно качество и стерильность, район рядом</t>
  </si>
  <si>
    <t>Хочу Маникюр на выходные, важно качество и стерильность, район рядом</t>
  </si>
  <si>
    <t>Хочу Педикюр на выходные, важно качество и стерильность, район рядом</t>
  </si>
  <si>
    <t>Хочу Визажист на выходные, важно качество и стерильность, район рядом</t>
  </si>
  <si>
    <t>Нужна коррекция и окрашивание бровей сегодня вечером</t>
  </si>
  <si>
    <t>Интент: бровист; срочность: сегодня; услуга: коррекция+окрашивание</t>
  </si>
  <si>
    <t>дата; время; тип услуги; район; бюджет</t>
  </si>
  <si>
    <t>Какой формат?; Сегодня точно?; Район?</t>
  </si>
  <si>
    <t>Категория=Красота; Слоты; Гео; Цена</t>
  </si>
  <si>
    <t>Красота → Брови → Время → Запись</t>
  </si>
  <si>
    <t>Мастера + цены + ближайшие слоты</t>
  </si>
  <si>
    <t>Хочу натуральные брови без сильного затемнения</t>
  </si>
  <si>
    <t>Интент: бровист; стиль: натуральный</t>
  </si>
  <si>
    <t>стиль; опыт; портфолио; цена</t>
  </si>
  <si>
    <t>Есть примеры?; Первый раз?</t>
  </si>
  <si>
    <t>Категория=Красота; Рейтинг; Портфолио</t>
  </si>
  <si>
    <t>Красота → Брови → Выбор мастера</t>
  </si>
  <si>
    <t>Работы + отзывы + цена</t>
  </si>
  <si>
    <t>Нужно вывезти старую мебель</t>
  </si>
  <si>
    <t>Интент: вывоз; объект: мебель</t>
  </si>
  <si>
    <t>объем; адрес; срочность</t>
  </si>
  <si>
    <t>Что именно?; Этаж?</t>
  </si>
  <si>
    <t>Категория=Вывоз</t>
  </si>
  <si>
    <t>Вывоз → Заказ</t>
  </si>
  <si>
    <t>Бригады + цена</t>
  </si>
  <si>
    <t>Нужно наращивание ресниц 2D на завтра</t>
  </si>
  <si>
    <t>Интент: ресницы; объем: 2D; дата: завтра</t>
  </si>
  <si>
    <t>объем; дата; время; район</t>
  </si>
  <si>
    <t>Какой объем?; Есть ли аллергии?</t>
  </si>
  <si>
    <t>Категория=Красота; Слоты; Гео</t>
  </si>
  <si>
    <t>Красота → Ресницы → Запись</t>
  </si>
  <si>
    <t>Мастера + цена + время</t>
  </si>
  <si>
    <t>Хочу шугаринг ног и подмышек сегодня</t>
  </si>
  <si>
    <t>Интент: эпиляция; зоны: ноги+подмышки; срочно</t>
  </si>
  <si>
    <t>зоны; дата; боль/чувствительность; цена</t>
  </si>
  <si>
    <t>Какие зоны?; Впервые?</t>
  </si>
  <si>
    <t>Категория=Красота; Гео; Цена</t>
  </si>
  <si>
    <t>Красота → Эпиляция → Выбор</t>
  </si>
  <si>
    <t>Мастера + цена за зоны</t>
  </si>
  <si>
    <t>Нужна уборка офиса 3 раза в неделю</t>
  </si>
  <si>
    <t>Интент: клининг; тип: офис</t>
  </si>
  <si>
    <t>площадь; график; цена</t>
  </si>
  <si>
    <t>Площадь?; Время?</t>
  </si>
  <si>
    <t>Категория=Клининг</t>
  </si>
  <si>
    <t>Офис → Подбор</t>
  </si>
  <si>
    <t>Компании + цена</t>
  </si>
  <si>
    <t>Нужна чистка лица, кожа проблемная</t>
  </si>
  <si>
    <t>Интент: косметология; проблема: акне</t>
  </si>
  <si>
    <t>тип кожи; процедура; бюджет; район</t>
  </si>
  <si>
    <t>Тип кожи?; Есть ли противопоказания?</t>
  </si>
  <si>
    <t>Категория=Красота; Опыт; Гео</t>
  </si>
  <si>
    <t>Красота → Косметолог → Подбор</t>
  </si>
  <si>
    <t>Косметологи + процедуры + цена</t>
  </si>
  <si>
    <t>Нужно уложить плитку в ванной</t>
  </si>
  <si>
    <t>Интент: ремонт; плитка</t>
  </si>
  <si>
    <t>площадь; материал; срок</t>
  </si>
  <si>
    <t>Сколько м2?; Материал есть?</t>
  </si>
  <si>
    <t>Категория=Ремонт</t>
  </si>
  <si>
    <t>Ремонт → Плитка</t>
  </si>
  <si>
    <t>Мастера + цена</t>
  </si>
  <si>
    <t>Хочу перманент бровей, максимально натурально</t>
  </si>
  <si>
    <t>Интент: перманент; зона: брови; стиль: натуральный</t>
  </si>
  <si>
    <t>зона; стиль; опыт; цена</t>
  </si>
  <si>
    <t>Есть старый татуаж?; Примеры?</t>
  </si>
  <si>
    <t>Категория=Красота; Портфолио; Цена</t>
  </si>
  <si>
    <t>Красота → Перманент → Консультация</t>
  </si>
  <si>
    <t>Мастера + кейсы + цена</t>
  </si>
  <si>
    <t>Нужно выровнять стены и покрасить</t>
  </si>
  <si>
    <t>Интент: ремонт; стены</t>
  </si>
  <si>
    <t>площадь; срок; цена</t>
  </si>
  <si>
    <t>Площадь?; Сроки?</t>
  </si>
  <si>
    <t>Ремонт → Стены</t>
  </si>
  <si>
    <t>Нужна укладка на мероприятие вечером</t>
  </si>
  <si>
    <t>Интент: стилист; событие: мероприятие</t>
  </si>
  <si>
    <t>дата; тип укладки; выезд; цена</t>
  </si>
  <si>
    <t>Выезд нужен?; Длина волос?</t>
  </si>
  <si>
    <t>Категория=Красота; Гео; Слоты</t>
  </si>
  <si>
    <t>Красота → Волосы → Запись</t>
  </si>
  <si>
    <t>Стилисты + цены + время</t>
  </si>
  <si>
    <t>Сделать перегородку из гипсокартона</t>
  </si>
  <si>
    <t>Интент: ремонт; гипсокартон</t>
  </si>
  <si>
    <t>размер; дизайн; цена</t>
  </si>
  <si>
    <t>Размер?; Чертеж есть?</t>
  </si>
  <si>
    <t>Ремонт → ГКЛ</t>
  </si>
  <si>
    <t>Хочу расслабляющий массаж на 1 час</t>
  </si>
  <si>
    <t>Интент: массаж; тип: классический; цель: расслабление</t>
  </si>
  <si>
    <t>длительность; район; цена</t>
  </si>
  <si>
    <t>Есть ли противопоказания?; Когда удобно?</t>
  </si>
  <si>
    <t>Категория=Здоровье; Гео; Цена</t>
  </si>
  <si>
    <t>Массаж → Классический → Бронь</t>
  </si>
  <si>
    <t>Хочу натяжной потолок в зале</t>
  </si>
  <si>
    <t>Интент: потолки</t>
  </si>
  <si>
    <t>площадь; тип; цена</t>
  </si>
  <si>
    <t>Площадь?; Матовый/глянец?</t>
  </si>
  <si>
    <t>Потолки → Подбор</t>
  </si>
  <si>
    <t>Нужен массаж после тренировки, сильно забиты мышцы</t>
  </si>
  <si>
    <t>Интент: массаж; тип: спортивный; проблема: мышцы</t>
  </si>
  <si>
    <t>зона; интенсивность; время</t>
  </si>
  <si>
    <t>Какие зоны?; Частота?</t>
  </si>
  <si>
    <t>Категория=Здоровье; Опыт</t>
  </si>
  <si>
    <t>Массаж → Спортивный → Выбор</t>
  </si>
  <si>
    <t>Специалисты + цена</t>
  </si>
  <si>
    <t>Положить ламинат в квартире</t>
  </si>
  <si>
    <t>Интент: пол; ламинат</t>
  </si>
  <si>
    <t>площадь; материал; цена</t>
  </si>
  <si>
    <t>Сколько м2?; Есть материал?</t>
  </si>
  <si>
    <t>Пол → Ламинат</t>
  </si>
  <si>
    <t>После травмы нужна реабилитация дома</t>
  </si>
  <si>
    <t>Интент: ЛФК; формат: дом; цель: восстановление</t>
  </si>
  <si>
    <t>диагноз; формат; график</t>
  </si>
  <si>
    <t>Есть рекомендации врача?; Онлайн/офлайн?</t>
  </si>
  <si>
    <t>Категория=Здоровье; Гео</t>
  </si>
  <si>
    <t>Реабилитация → Подбор</t>
  </si>
  <si>
    <t>Специалисты + программа</t>
  </si>
  <si>
    <t>Установить межкомнатные двери</t>
  </si>
  <si>
    <t>Интент: двери</t>
  </si>
  <si>
    <t>кол-во; тип; цена</t>
  </si>
  <si>
    <t>Сколько дверей?; Есть ли двери?</t>
  </si>
  <si>
    <t>Двери → Установка</t>
  </si>
  <si>
    <t>Чувствую тревогу, хочу поговорить с психологом</t>
  </si>
  <si>
    <t>Интент: психолог; проблема: тревога</t>
  </si>
  <si>
    <t>проблема; формат; бюджет</t>
  </si>
  <si>
    <t>Онлайн или офлайн?; Срочно?</t>
  </si>
  <si>
    <t>Категория=Психология; Формат</t>
  </si>
  <si>
    <t>Психолог → Консультация</t>
  </si>
  <si>
    <t>Психологи + цена</t>
  </si>
  <si>
    <t>Нужно сварить металлическую конструкцию</t>
  </si>
  <si>
    <t>Интент: сварка</t>
  </si>
  <si>
    <t>тип; объем; цена</t>
  </si>
  <si>
    <t>Что сварить?; Где?</t>
  </si>
  <si>
    <t>Сварка → Заказ</t>
  </si>
  <si>
    <t>Проблемы в отношениях, нужна помощь</t>
  </si>
  <si>
    <t>Интент: семейная психология</t>
  </si>
  <si>
    <t>тип проблемы; формат; цена</t>
  </si>
  <si>
    <t>Пара или один?; Онлайн?</t>
  </si>
  <si>
    <t>Категория=Психология</t>
  </si>
  <si>
    <t>Психолог → Семейный</t>
  </si>
  <si>
    <t>Специалисты + отзывы</t>
  </si>
  <si>
    <t>Хочу шкаф под заказ</t>
  </si>
  <si>
    <t>Интент: мебель; кастом</t>
  </si>
  <si>
    <t>размер; стиль; бюджет</t>
  </si>
  <si>
    <t>Размеры?; Дизайн?</t>
  </si>
  <si>
    <t>Категория=Мебель</t>
  </si>
  <si>
    <t>Мебель → Заказ</t>
  </si>
  <si>
    <t>Производители + цена</t>
  </si>
  <si>
    <t>Нужна сиделка днем для пожилого человека</t>
  </si>
  <si>
    <t>Интент: уход; время: день</t>
  </si>
  <si>
    <t>график; обязанности; район</t>
  </si>
  <si>
    <t>Какие задачи?; Мед навыки нужны?</t>
  </si>
  <si>
    <t>Категория=Уход; Гео</t>
  </si>
  <si>
    <t>Уход → Сиделка → День</t>
  </si>
  <si>
    <t>Кандидаты + ставка</t>
  </si>
  <si>
    <t>Установить кондиционер в квартире</t>
  </si>
  <si>
    <t>Интент: кондиционер; установка</t>
  </si>
  <si>
    <t>тип; этаж; цена</t>
  </si>
  <si>
    <t>Есть ли кондиционер?; Этаж?</t>
  </si>
  <si>
    <t>Кондиционер → Установка</t>
  </si>
  <si>
    <t>Нужна сиделка на ночь в больницу</t>
  </si>
  <si>
    <t>Интент: уход; время: ночь</t>
  </si>
  <si>
    <t>график; место; опыт</t>
  </si>
  <si>
    <t>Где?; Нужен ли мед опыт?</t>
  </si>
  <si>
    <t>Категория=Уход</t>
  </si>
  <si>
    <t>Уход → Ночь</t>
  </si>
  <si>
    <t>Сиделки + цена</t>
  </si>
  <si>
    <t>Нужно повесить полку и собрать стол</t>
  </si>
  <si>
    <t>Интент: мелкий ремонт</t>
  </si>
  <si>
    <t>задачи; время; цена</t>
  </si>
  <si>
    <t>Что сделать?; Когда?</t>
  </si>
  <si>
    <t>Категория=Дом</t>
  </si>
  <si>
    <t>Муж на час → Заказ</t>
  </si>
  <si>
    <t>Ищу постоянный уход за бабушкой</t>
  </si>
  <si>
    <t>Интент: уход; длительность: постоянно</t>
  </si>
  <si>
    <t>график; обязанности; бюджет</t>
  </si>
  <si>
    <t>Круглосуточно?; Какие задачи?</t>
  </si>
  <si>
    <t>Уход → Подбор</t>
  </si>
  <si>
    <t>Сиделки + условия</t>
  </si>
  <si>
    <t>Разбился экран, нужно заменить</t>
  </si>
  <si>
    <t>Интент: ремонт; смартфон</t>
  </si>
  <si>
    <t>модель; проблема; цена</t>
  </si>
  <si>
    <t>Какая модель?; Срочно?</t>
  </si>
  <si>
    <t>Категория=Ремонт техники</t>
  </si>
  <si>
    <t>Смартфон → Ремонт</t>
  </si>
  <si>
    <t>Сервисы + цена</t>
  </si>
  <si>
    <t>Можно онлайн консультацию сегодня?</t>
  </si>
  <si>
    <t>Интент: психолог; формат: онлайн; срочно</t>
  </si>
  <si>
    <t>время; проблема; цена</t>
  </si>
  <si>
    <t>Во сколько?; Длительность?</t>
  </si>
  <si>
    <t>Категория=Психология; Онлайн</t>
  </si>
  <si>
    <t>Психолог → Онлайн</t>
  </si>
  <si>
    <t>Доступные специалисты</t>
  </si>
  <si>
    <t>Ноутбук не включается</t>
  </si>
  <si>
    <t>Интент: ремонт; ноутбук</t>
  </si>
  <si>
    <t>модель; проблема; срочность</t>
  </si>
  <si>
    <t>Что произошло?; Срочно?</t>
  </si>
  <si>
    <t>Ноутбук → Диагностика</t>
  </si>
  <si>
    <t>Нужна генеральная уборка всей квартиры</t>
  </si>
  <si>
    <t>Интент: клининг; тип: генеральная</t>
  </si>
  <si>
    <t>площадь; дата; цена</t>
  </si>
  <si>
    <t>Сколько комнат?; Есть ли техника?</t>
  </si>
  <si>
    <t>Клининг → Генеральная</t>
  </si>
  <si>
    <t>Исполнители + цена</t>
  </si>
  <si>
    <t>Нужно переустановить Windows</t>
  </si>
  <si>
    <t>Интент: ПО; установка</t>
  </si>
  <si>
    <t>тип; срочность; цена</t>
  </si>
  <si>
    <t>Какая версия?; Когда?</t>
  </si>
  <si>
    <t>Категория=IT</t>
  </si>
  <si>
    <t>IT → Установка</t>
  </si>
  <si>
    <t>После ремонта нужно все убрать</t>
  </si>
  <si>
    <t>Интент: клининг; тип: после ремонта</t>
  </si>
  <si>
    <t>площадь; мусор; срочность</t>
  </si>
  <si>
    <t>Много ли мусора?; Когда?</t>
  </si>
  <si>
    <t>Клининг → После ремонта</t>
  </si>
  <si>
    <t>Плохо работает интернет дома</t>
  </si>
  <si>
    <t>Интент: интернет; настройка</t>
  </si>
  <si>
    <t>проблема; провайдер; адрес</t>
  </si>
  <si>
    <t>Какой провайдер?; Когда удобно?</t>
  </si>
  <si>
    <t>Wi-Fi → Настройка</t>
  </si>
  <si>
    <t>Нужно помыть окна на балконе</t>
  </si>
  <si>
    <t>Интент: клининг; услуга: окна</t>
  </si>
  <si>
    <t>кол-во окон; этаж; доступ</t>
  </si>
  <si>
    <t>Сколько окон?; Высота?</t>
  </si>
  <si>
    <t>Клининг → Окна</t>
  </si>
  <si>
    <t>Телевизор не включается</t>
  </si>
  <si>
    <t>Интент: ремонт; ТВ</t>
  </si>
  <si>
    <t>Какая модель?; Что произошло?</t>
  </si>
  <si>
    <t>Категория=Техника</t>
  </si>
  <si>
    <t>ТВ → Ремонт</t>
  </si>
  <si>
    <t>Почистить диван от пятен</t>
  </si>
  <si>
    <t>Интент: химчистка; объект: диван</t>
  </si>
  <si>
    <t>тип ткани; пятна; цена</t>
  </si>
  <si>
    <t>Какая ткань?; Размер?</t>
  </si>
  <si>
    <t>Химчистка → Мебель</t>
  </si>
  <si>
    <t>Стиралка не сливает воду</t>
  </si>
  <si>
    <t>Интент: ремонт; стиральная машина</t>
  </si>
  <si>
    <t>проблема; модель; цена</t>
  </si>
  <si>
    <t>Стиралка → Ремонт</t>
  </si>
  <si>
    <t>Ковер грязный, нужна чистка</t>
  </si>
  <si>
    <t>Интент: химчистка; объект: ковер</t>
  </si>
  <si>
    <t>размер; материал; цена</t>
  </si>
  <si>
    <t>Размер?; Заберут или на месте?</t>
  </si>
  <si>
    <t>Химчистка → Ковры</t>
  </si>
  <si>
    <t>Услуги + цена</t>
  </si>
  <si>
    <t>Холодильник не холодит</t>
  </si>
  <si>
    <t>Интент: ремонт; холодильник</t>
  </si>
  <si>
    <t>проблема; модель; срочность</t>
  </si>
  <si>
    <t>Когда сломался?; Срочно?</t>
  </si>
  <si>
    <t>Холодильник → Ремонт</t>
  </si>
  <si>
    <t>Ищу домработницу 2 раза в неделю</t>
  </si>
  <si>
    <t>Интент: домработница; график: регулярный</t>
  </si>
  <si>
    <t>Какие задачи?; Район?</t>
  </si>
  <si>
    <t>Дом → Подбор</t>
  </si>
  <si>
    <t>Нужно постирать и погладить вещи</t>
  </si>
  <si>
    <t>Интент: стирка; глажка</t>
  </si>
  <si>
    <t>объем; частота; цена</t>
  </si>
  <si>
    <t>Сколько вещей?; Разово?</t>
  </si>
  <si>
    <t>Дом → Услуги</t>
  </si>
  <si>
    <t>Хочу разобрать гардероб и организовать вещи</t>
  </si>
  <si>
    <t>Интент: организация; зона: гардероб</t>
  </si>
  <si>
    <t>объем; зона; бюджет</t>
  </si>
  <si>
    <t>Какая зона?; Сколько времени?</t>
  </si>
  <si>
    <t>Организация → Подбор</t>
  </si>
  <si>
    <t>Специалисты + кейсы</t>
  </si>
  <si>
    <t>Нужен мастер для чистки кондиционера, желательно сегодня, бюджет до 20 000 ₸</t>
  </si>
  <si>
    <t>Интент: бытовой сервис; обслуживание кондиционера; срочно</t>
  </si>
  <si>
    <t>город; тип услуги; бюджет; срочность; модель кондиционера</t>
  </si>
  <si>
    <t>Что нужно сделать?; Какая модель кондиционера?; Когда удобно?</t>
  </si>
  <si>
    <t>Специальность; город; опыт; прайс; рейтинг; отзывы; верификация</t>
  </si>
  <si>
    <t>Поиск → уточнения → подбор мастеров → карточки → чат</t>
  </si>
  <si>
    <t>Показать мастеров: цена, рейтинг, опыт</t>
  </si>
  <si>
    <t>Нужен мастер для ремонта принтера HP, не печатает</t>
  </si>
  <si>
    <t>Интент: ремонт техники; принтер; проблема печати</t>
  </si>
  <si>
    <t>город; бренд; модель; проблема; срочность</t>
  </si>
  <si>
    <t>Какая модель принтера?; Какая проблема?; Нужен выезд?</t>
  </si>
  <si>
    <t>Специальность; город; опыт; прайс; рейтинг; отзывы</t>
  </si>
  <si>
    <t>Поиск → уточнения → подбор специалистов → карточки</t>
  </si>
  <si>
    <t>Показать специалистов: цена диагностики, рейтинг</t>
  </si>
  <si>
    <t>Нужно восстановить данные с жесткого диска</t>
  </si>
  <si>
    <t>Интент: IT сервис; восстановление данных</t>
  </si>
  <si>
    <t>HDD/SSD; тип данных; срочность; город</t>
  </si>
  <si>
    <t>С какого устройства?; Что произошло?; Срочно ли?</t>
  </si>
  <si>
    <t>Специальность; опыт; прайс; рейтинг; кейсы</t>
  </si>
  <si>
    <t>Показать специалистов: кейсы восстановления</t>
  </si>
  <si>
    <t>Нужно собрать игровой компьютер, бюджет около 800 000 ₸</t>
  </si>
  <si>
    <t>Интент: IT сервис; сборка ПК; игровой</t>
  </si>
  <si>
    <t>город; бюджет; назначение ПК; комплектующие</t>
  </si>
  <si>
    <t>Для каких задач ПК?; Есть комплектующие?; Нужен подбор деталей?</t>
  </si>
  <si>
    <t>Специальность; опыт; прайс; рейтинг; кейсы сборок</t>
  </si>
  <si>
    <t>Показать специалистов: примеры сборок</t>
  </si>
  <si>
    <t>Нужно сделать диагностику автомобиля Toyota</t>
  </si>
  <si>
    <t>Интент: автосервис; диагностика авто</t>
  </si>
  <si>
    <t>город; марка авто; модель; проблема</t>
  </si>
  <si>
    <t>Какая проблема у авто?; Марка и год?; Когда удобно?</t>
  </si>
  <si>
    <t>СТО; цена; рейтинг; отзывы</t>
  </si>
  <si>
    <t>Поиск → уточнения → подбор СТО → карточки</t>
  </si>
  <si>
    <t>Показать СТО: цена диагностики</t>
  </si>
  <si>
    <t>Нужен автоэлектрик, не работает сигнализация</t>
  </si>
  <si>
    <t>Интент: автосервис; электроника авто</t>
  </si>
  <si>
    <t>город; марка авто; проблема; срочность</t>
  </si>
  <si>
    <t>Какая марка машины?; Какая проблема?; Нужен выезд?</t>
  </si>
  <si>
    <t>Специальность; город; опыт; рейтинг; прайс</t>
  </si>
  <si>
    <t>Поиск → уточнения → подбор мастеров → карточки</t>
  </si>
  <si>
    <t>Показать автоэлектриков</t>
  </si>
  <si>
    <t>Нужно поменять шины на зимние</t>
  </si>
  <si>
    <t>Интент: автосервис; шиномонтаж</t>
  </si>
  <si>
    <t>город; тип авто; размер шин; срочность</t>
  </si>
  <si>
    <t>Размер шин?; Нужна балансировка?; Когда приехать?</t>
  </si>
  <si>
    <t>Поиск → уточнения → подбор шиномонтажа → карточки</t>
  </si>
  <si>
    <t>Показать сервисы шиномонтажа</t>
  </si>
  <si>
    <t>Нужно заменить масло в машине</t>
  </si>
  <si>
    <t>Интент: автосервис; замена масла</t>
  </si>
  <si>
    <t>город; марка авто; тип масла; срочность</t>
  </si>
  <si>
    <t>Марка машины?; Какое масло?; Когда удобно?</t>
  </si>
  <si>
    <t>СТО; цена; рейтинг</t>
  </si>
  <si>
    <t>Показать СТО</t>
  </si>
  <si>
    <t>Нужно исправить вмятину на двери автомобиля</t>
  </si>
  <si>
    <t>Интент: автосервис; кузовной ремонт</t>
  </si>
  <si>
    <t>город; тип повреждения; авто; бюджет</t>
  </si>
  <si>
    <t>Где повреждение?; Есть фото?; Марка авто?</t>
  </si>
  <si>
    <t>СТО; цена; рейтинг; кейсы</t>
  </si>
  <si>
    <t>Поиск → уточнения → подбор мастерских → карточки</t>
  </si>
  <si>
    <t>Показать мастерские</t>
  </si>
  <si>
    <t>Нужно покрасить бампер автомобиля</t>
  </si>
  <si>
    <t>Интент: автосервис; покраска авто</t>
  </si>
  <si>
    <t>город; часть авто; цвет; срочность</t>
  </si>
  <si>
    <t>Какую часть красить?; Марка авто?; Когда нужно?</t>
  </si>
  <si>
    <t>Показать сервисы покраски</t>
  </si>
  <si>
    <t>Хочу сделать полный детейлинг автомобиля, желательно сегодня</t>
  </si>
  <si>
    <t>Интент: автосервис; детейлинг авто</t>
  </si>
  <si>
    <t>город; тип услуги; авто; бюджет; срочность</t>
  </si>
  <si>
    <t>Что нужно сделать (полировка/химчистка)?; Какая машина?; Когда удобно?</t>
  </si>
  <si>
    <t>Специальность; город; цена; рейтинг; кейсы</t>
  </si>
  <si>
    <t>Поиск → подбор сервисов → карточки → бронь</t>
  </si>
  <si>
    <t>Показать детейлинг центры: цена, рейтинг, фото работ</t>
  </si>
  <si>
    <t>Нужен эвакуатор срочно в Алматы</t>
  </si>
  <si>
    <t>Интент: авто помощь; эвакуатор</t>
  </si>
  <si>
    <t>город; местоположение; авто; срочность</t>
  </si>
  <si>
    <t>Где находится авто?; Куда везти?; Марка машины?</t>
  </si>
  <si>
    <t>Специальность; город; цена; время подачи</t>
  </si>
  <si>
    <t>Поиск → быстрый подбор → вызов</t>
  </si>
  <si>
    <t>Показать ближайшие эвакуаторы</t>
  </si>
  <si>
    <t>Нужен трезвый водитель отвезти меня домой</t>
  </si>
  <si>
    <t>Интент: водительская услуга; трезвый водитель</t>
  </si>
  <si>
    <t>город; точка А; точка Б; время</t>
  </si>
  <si>
    <t>Откуда и куда ехать?; Во сколько?; Какая машина?</t>
  </si>
  <si>
    <t>Специальность; город; рейтинг; цена</t>
  </si>
  <si>
    <t>Поиск → подбор водителей → заказ</t>
  </si>
  <si>
    <t>Показать водителей: рейтинг, время прибытия</t>
  </si>
  <si>
    <t>Ищу специалиста по автоподбору до 10 млн ₸</t>
  </si>
  <si>
    <t>Интент: авто консультация; подбор автомобиля</t>
  </si>
  <si>
    <t>город; бюджет; марка авто; год</t>
  </si>
  <si>
    <t>Какой бюджет?; Какая марка?; Нужна диагностика?</t>
  </si>
  <si>
    <t>Специальность; опыт; рейтинг; кейсы</t>
  </si>
  <si>
    <t>Поиск → подбор экспертов → карточки → чат</t>
  </si>
  <si>
    <t>Показать экспертов автоподбора</t>
  </si>
  <si>
    <t>Нужно установить сигнализацию на авто</t>
  </si>
  <si>
    <t>Интент: автосервис; установка сигнализации</t>
  </si>
  <si>
    <t>город; марка авто; тип сигнализации</t>
  </si>
  <si>
    <t>Какая машина?; Есть сигнализация?; Когда установить?</t>
  </si>
  <si>
    <t>Поиск → подбор сервисов → карточки</t>
  </si>
  <si>
    <t>Показать СТО установки сигнализации</t>
  </si>
  <si>
    <t>Нужно доставить документы сегодня</t>
  </si>
  <si>
    <t>Интент: доставка; пеший курьер</t>
  </si>
  <si>
    <t>город; точка А; точка Б; срочность</t>
  </si>
  <si>
    <t>Что доставить?; Откуда?; Куда?</t>
  </si>
  <si>
    <t>Специальность; город; цена; рейтинг</t>
  </si>
  <si>
    <t>Поиск → быстрый заказ → курьеры</t>
  </si>
  <si>
    <t>Показать ближайших курьеров</t>
  </si>
  <si>
    <t>Нужен курьер на машине доставить коробку</t>
  </si>
  <si>
    <t>Интент: доставка; авто курьер</t>
  </si>
  <si>
    <t>город; груз; точки; срочность</t>
  </si>
  <si>
    <t>Размер груза?; Откуда и куда?; Когда доставить?</t>
  </si>
  <si>
    <t>Поиск → подбор курьеров → заказ</t>
  </si>
  <si>
    <t>Показать авто курьеров</t>
  </si>
  <si>
    <t>Нужна газель перевезти мебель</t>
  </si>
  <si>
    <t>Интент: перевозка; газель</t>
  </si>
  <si>
    <t>город; груз; расстояние; дата</t>
  </si>
  <si>
    <t>Что перевозить?; Адреса?; Нужны грузчики?</t>
  </si>
  <si>
    <t>Специальность; машина; цена; рейтинг</t>
  </si>
  <si>
    <t>Поиск → подбор перевозчиков → карточки</t>
  </si>
  <si>
    <t>Показать перевозчиков</t>
  </si>
  <si>
    <t>Нужна компания для переезда квартиры</t>
  </si>
  <si>
    <t>Интент: переезд; комплексная услуга</t>
  </si>
  <si>
    <t>город; объем; дата; этаж</t>
  </si>
  <si>
    <t>Сколько комнат?; Есть ли лифт?; Нужна упаковка?</t>
  </si>
  <si>
    <t>Специальность; цена; рейтинг</t>
  </si>
  <si>
    <t>Поиск → подбор компаний → карточки</t>
  </si>
  <si>
    <t>Показать компании по переезду</t>
  </si>
  <si>
    <t>Нужны 2 грузчика на пару часов</t>
  </si>
  <si>
    <t>Интент: логистика; грузчики</t>
  </si>
  <si>
    <t>город; количество; время; груз</t>
  </si>
  <si>
    <t>Сколько человек?; Что переносить?; Когда?</t>
  </si>
  <si>
    <t>Поиск → подбор грузчиков → заказ</t>
  </si>
  <si>
    <t>Показать грузчиков</t>
  </si>
  <si>
    <t>Нужно доставить посылку за час</t>
  </si>
  <si>
    <t>Интент: срочная доставка</t>
  </si>
  <si>
    <t>город; точки; срочность</t>
  </si>
  <si>
    <t>Специальность; цена; время доставки</t>
  </si>
  <si>
    <t>Поиск → экспресс доставка → заказ</t>
  </si>
  <si>
    <t>Показать быстрых курьеров</t>
  </si>
  <si>
    <t>Нужно отправить груз Алматы-Астана</t>
  </si>
  <si>
    <t>Интент: межгород доставка</t>
  </si>
  <si>
    <t>города; груз; вес; дата</t>
  </si>
  <si>
    <t>Что отправить?; Вес?; Когда?</t>
  </si>
  <si>
    <t>Поиск → подбор перевозчиков</t>
  </si>
  <si>
    <t>Нужно доставить холодильник</t>
  </si>
  <si>
    <t>Интент: доставка крупной техники</t>
  </si>
  <si>
    <t>город; груз; этаж; лифт</t>
  </si>
  <si>
    <t>Что доставить?; Есть ли лифт?; Адрес?</t>
  </si>
  <si>
    <t>Специальность; цена; машина</t>
  </si>
  <si>
    <t>Нужно поднять сейф на 5 этаж</t>
  </si>
  <si>
    <t>Интент: такелажные работы</t>
  </si>
  <si>
    <t>город; вес; этаж</t>
  </si>
  <si>
    <t>Вес груза?; Есть ли лифт?; Когда?</t>
  </si>
  <si>
    <t>Специальность; цена; опыт</t>
  </si>
  <si>
    <t>Поиск → подбор специалистов</t>
  </si>
  <si>
    <t>Показать такелажников</t>
  </si>
  <si>
    <t>Нужна помощь упаковать вещи при переезде</t>
  </si>
  <si>
    <t>Интент: упаковка вещей</t>
  </si>
  <si>
    <t>город; объем; дата</t>
  </si>
  <si>
    <t>Сколько вещей?; Когда?</t>
  </si>
  <si>
    <t>Показать упаковщиков</t>
  </si>
  <si>
    <t>Ищу репетитора по математике для 9 класса</t>
  </si>
  <si>
    <t>Интент: обучение; математика</t>
  </si>
  <si>
    <t>город; класс; формат; цена</t>
  </si>
  <si>
    <t>Для какого класса?; Онлайн или офлайн?</t>
  </si>
  <si>
    <t>Специальность; опыт; рейтинг</t>
  </si>
  <si>
    <t>Поиск → подбор репетиторов</t>
  </si>
  <si>
    <t>Показать репетиторов</t>
  </si>
  <si>
    <t>Ищу репетитора по английскому</t>
  </si>
  <si>
    <t>Интент: обучение; английский язык</t>
  </si>
  <si>
    <t>город; уровень; формат</t>
  </si>
  <si>
    <t>Какой уровень?; Онлайн или офлайн?</t>
  </si>
  <si>
    <t>Поиск → подбор преподавателей</t>
  </si>
  <si>
    <t>Показать преподавателей</t>
  </si>
  <si>
    <t>Нужен репетитор для подготовки к ЕНТ</t>
  </si>
  <si>
    <t>Интент: экзамен подготовка; ЕНТ</t>
  </si>
  <si>
    <t>город; предмет; срок</t>
  </si>
  <si>
    <t>Какие предметы?; Когда экзамен?</t>
  </si>
  <si>
    <t>Нужен преподаватель IELTS</t>
  </si>
  <si>
    <t>Интент: подготовка IELTS/TOEFL</t>
  </si>
  <si>
    <t>уровень; цель; срок</t>
  </si>
  <si>
    <t>Какой уровень?; Когда экзамен?</t>
  </si>
  <si>
    <t>Специальность; опыт; сертификаты</t>
  </si>
  <si>
    <t>Нужен репетитор по физике</t>
  </si>
  <si>
    <t>Интент: обучение; физика/химия</t>
  </si>
  <si>
    <t>класс; формат; город</t>
  </si>
  <si>
    <t>Для какого класса?; Онлайн?</t>
  </si>
  <si>
    <t>Хочу научиться Excel для работы</t>
  </si>
  <si>
    <t>Интент: обучение; Excel</t>
  </si>
  <si>
    <t>уровень; формат; цель</t>
  </si>
  <si>
    <t>Начальный уровень?; Онлайн или офлайн?</t>
  </si>
  <si>
    <t>Хочу изучить Power BI</t>
  </si>
  <si>
    <t>Интент: обучение; Power BI</t>
  </si>
  <si>
    <t>уровень; формат</t>
  </si>
  <si>
    <t>Есть опыт с Excel?; Онлайн?</t>
  </si>
  <si>
    <t>Хочу пройти курс SMM</t>
  </si>
  <si>
    <t>Интент: обучение; SMM</t>
  </si>
  <si>
    <t>формат; уровень; цель</t>
  </si>
  <si>
    <t>Для себя или бизнеса?; Онлайн?</t>
  </si>
  <si>
    <t>Поиск → подбор курсов</t>
  </si>
  <si>
    <t>Показать курсы SMM</t>
  </si>
  <si>
    <t>Ищу преподавателя по пианино</t>
  </si>
  <si>
    <t>Интент: обучение; музыка</t>
  </si>
  <si>
    <t>инструмент; уровень; формат</t>
  </si>
  <si>
    <t>Какой инструмент?; Начальный уровень?</t>
  </si>
  <si>
    <t>Показать преподавателей музыки</t>
  </si>
  <si>
    <t>Нужна подготовка ребенка к школе</t>
  </si>
  <si>
    <t>Интент: обучение; подготовка к школе</t>
  </si>
  <si>
    <t>город; возраст; формат</t>
  </si>
  <si>
    <t>Возраст ребенка?; Онлайн или офлайн?</t>
  </si>
  <si>
    <t>Нужен юрист для проверки договора</t>
  </si>
  <si>
    <t>Интент: юридическая помощь; договоры</t>
  </si>
  <si>
    <t>город; тип договора; срочность</t>
  </si>
  <si>
    <t>Какой договор?; Срочно ли?</t>
  </si>
  <si>
    <t>Поиск → подбор юристов</t>
  </si>
  <si>
    <t>Показать юристов</t>
  </si>
  <si>
    <t>Нужен юрист по недвижимости</t>
  </si>
  <si>
    <t>Интент: юридическая помощь; недвижимость</t>
  </si>
  <si>
    <t>город; тип сделки</t>
  </si>
  <si>
    <t>Покупка или аренда?; Срочно ли?</t>
  </si>
  <si>
    <t>Нужен бухгалтер для ИП</t>
  </si>
  <si>
    <t>Интент: бухгалтерские услуги</t>
  </si>
  <si>
    <t>город; тип бизнеса; услуги</t>
  </si>
  <si>
    <t>ИП или ТОО?; Какие услуги?</t>
  </si>
  <si>
    <t>Поиск → подбор бухгалтеров</t>
  </si>
  <si>
    <t>Показать бухгалтеров</t>
  </si>
  <si>
    <t>Нужно сделать налоговую отчетность</t>
  </si>
  <si>
    <t>Интент: бухгалтерия; налоговая отчетность</t>
  </si>
  <si>
    <t>город; тип компании; период</t>
  </si>
  <si>
    <t>ИП или ТОО?; За какой период?</t>
  </si>
  <si>
    <t>Нужно зарегистрировать ИП</t>
  </si>
  <si>
    <t>Интент: регистрация бизнеса</t>
  </si>
  <si>
    <t>город; тип бизнеса</t>
  </si>
  <si>
    <t>ИП или ТОО?; Срочно ли?</t>
  </si>
  <si>
    <t>Показать специалистов</t>
  </si>
  <si>
    <t>Нужно подготовить HR документы для компании</t>
  </si>
  <si>
    <t>Интент: HR услуги</t>
  </si>
  <si>
    <t>город; тип компании; задача</t>
  </si>
  <si>
    <t>Какие документы?; Сколько сотрудников?</t>
  </si>
  <si>
    <t>Поиск → подбор HR специалистов</t>
  </si>
  <si>
    <t>Нужна консультация по развитию бизнеса</t>
  </si>
  <si>
    <t>Интент: бизнес консалтинг</t>
  </si>
  <si>
    <t>город; ниша; цель</t>
  </si>
  <si>
    <t>Какая ниша?; Какая цель?</t>
  </si>
  <si>
    <t>Поиск → подбор консультантов</t>
  </si>
  <si>
    <t>Показать консультантов</t>
  </si>
  <si>
    <t>Нужна финансовая консультация по инвестициям</t>
  </si>
  <si>
    <t>Интент: финансы; финансовый консультант</t>
  </si>
  <si>
    <t>город; цель; бюджет</t>
  </si>
  <si>
    <t>Какая цель?; Инвестиции или финплан?</t>
  </si>
  <si>
    <t>Нужен специалист по тендерам</t>
  </si>
  <si>
    <t>Интент: тендер сопровождение</t>
  </si>
  <si>
    <t>город; тип тендера; срочность</t>
  </si>
  <si>
    <t>Гос или коммерческий тендер?; Срок?</t>
  </si>
  <si>
    <t>Нужно составить резюме на английском для IT-компании</t>
  </si>
  <si>
    <t>Интент: CV-консультация; язык: EN; сфера: IT</t>
  </si>
  <si>
    <t>язык; сфера; онлайн/офлайн</t>
  </si>
  <si>
    <t>Есть готовый текст?; На какую позицию подаётесь?; Нужна подготовка к интервью?</t>
  </si>
  <si>
    <t>Специальность; Языки; Кейсы; Рейтинг; Опыт (лет)</t>
  </si>
  <si>
    <t>Карьерные услуги → Выбор консультанта</t>
  </si>
  <si>
    <t>Консультанты с опытом в IT + примеры кейсов</t>
  </si>
  <si>
    <t>Хочу просто отредактировать резюме, без консультаций</t>
  </si>
  <si>
    <t>Интент: редактирование CV</t>
  </si>
  <si>
    <t>формат услуги; срочность</t>
  </si>
  <si>
    <t>Когда нужно?; На каком языке резюме?</t>
  </si>
  <si>
    <t>Специальность; Прайс; Рейтинг</t>
  </si>
  <si>
    <t>Карьерные услуги → Быстрое редактирование</t>
  </si>
  <si>
    <t>Специалисты с фиксированной ценой за правки</t>
  </si>
  <si>
    <t>Нужен человек, кто будет полностью вести магазин на Kaspi</t>
  </si>
  <si>
    <t>Интент: управление магазином; формат: под ключ</t>
  </si>
  <si>
    <t>формат работы; ниша; опыт специалиста</t>
  </si>
  <si>
    <t>Сколько товаров?; Есть действующий аккаунт?; Нужна реклама?</t>
  </si>
  <si>
    <t>Специальность; Опыт (лет); Кейсы; Верификация (%); Рейтинг</t>
  </si>
  <si>
    <t>Маркетплейсы → Kaspi</t>
  </si>
  <si>
    <t>Менеджеры с кейсами роста оборота</t>
  </si>
  <si>
    <t>Ищу менеджера с опытом в одежде для WB</t>
  </si>
  <si>
    <t>Интент: менеджер WB; ниша: одежда</t>
  </si>
  <si>
    <t>ниша; опыт; кейсы</t>
  </si>
  <si>
    <t>Сколько SKU?; Запуск или ведение?; Есть склад?</t>
  </si>
  <si>
    <t>Специальность; Кейсы; Опыт (лет); Рейтинг; Верификация (%)</t>
  </si>
  <si>
    <t>Маркетплейсы → Wildberries</t>
  </si>
  <si>
    <t>Специалисты с опытом fashion-категории</t>
  </si>
  <si>
    <t>Кто сделает инфографику для 5 карточек на Wildberries?</t>
  </si>
  <si>
    <t>Интент: оформление карточек; площадка: WB; количество: 5</t>
  </si>
  <si>
    <t>площадка; количество; срочность</t>
  </si>
  <si>
    <t>Есть фото товара?; Нужен копирайтинг?; Когда дедлайн?</t>
  </si>
  <si>
    <t>Специальность; Портфолио; Прайс; Рейтинг</t>
  </si>
  <si>
    <t>Дизайн → Карточки товара</t>
  </si>
  <si>
    <t>Исполнители с примерами инфографики</t>
  </si>
  <si>
    <t>Нужно отснять 15 товаров для каталога, город Алматы</t>
  </si>
  <si>
    <t>Интент: предметная съемка; количество: 15; город: Алматы</t>
  </si>
  <si>
    <t>город; количество; обработка</t>
  </si>
  <si>
    <t>Нужна ретушь?; Где будет съемка?; Срок?</t>
  </si>
  <si>
    <t>Специальность; Город; Портфолио; Рейтинг; Прайс</t>
  </si>
  <si>
    <t>Фотоуслуги → Предметная съемка</t>
  </si>
  <si>
    <t>Фотографы в Алматы + цена за единицу</t>
  </si>
  <si>
    <t>Ищу склад для хранения и упаковки заказов WB</t>
  </si>
  <si>
    <t>Интент: фулфилмент; площадка: WB</t>
  </si>
  <si>
    <t>город; объем; хранение/упаковка</t>
  </si>
  <si>
    <t>Какой объем в месяц?; Нужна маркировка?; В каком городе склад?</t>
  </si>
  <si>
    <t>Специальность; Город; Инвентарь/Навыки; Прайс</t>
  </si>
  <si>
    <t>Логистика → Фулфилмент</t>
  </si>
  <si>
    <t>Склады с тарифами и условиями хранения</t>
  </si>
  <si>
    <t>Нужен оператор на вечер отвечать клиентам в Instagram</t>
  </si>
  <si>
    <t>Интент: чат-поддержка; канал: Instagram; время: вечер</t>
  </si>
  <si>
    <t>график; язык; формат (удаленно)</t>
  </si>
  <si>
    <t>Сколько часов в день?; На каком языке отвечать?; Сфера бизнеса?</t>
  </si>
  <si>
    <t>Специальность; Языки; Опыт (лет); Рейтинг</t>
  </si>
  <si>
    <t>Персонал → Поддержка</t>
  </si>
  <si>
    <t>Кандидаты с опытом соцсетей</t>
  </si>
  <si>
    <t>Продажи на WB упали, нужна настройка рекламы</t>
  </si>
  <si>
    <t>Интент: реклама WB; проблема: падение продаж</t>
  </si>
  <si>
    <t>площадка; аудит; бюджет рекламы</t>
  </si>
  <si>
    <t>Есть доступ к кабинету?; Нужен аудит?; Какой бюджет?</t>
  </si>
  <si>
    <t>Специальность; Кейсы; Опыт (лет); Верификация (%); Рейтинг</t>
  </si>
  <si>
    <t>Маркетплейсы → Реклама</t>
  </si>
  <si>
    <t>Специалисты с кейсами роста ROI</t>
  </si>
  <si>
    <t>Нужно организовать поставку из Китая на склад</t>
  </si>
  <si>
    <t>Интент: логистика; международная доставка</t>
  </si>
  <si>
    <t>страна; объем; тип доставки</t>
  </si>
  <si>
    <t>Какой объем?; Авиа или авто?; В какой город?</t>
  </si>
  <si>
    <t>Специальность; Опыт (лет); Кейсы; Город</t>
  </si>
  <si>
    <t>Логистика → Международные перевозки</t>
  </si>
  <si>
    <t>Логисты с опытом импорта</t>
  </si>
  <si>
    <t>Нужен мерчендайзер в Алматы на 2 дня</t>
  </si>
  <si>
    <t>Интент: мерчендайзинг; город: Алматы; срок: 2 дня</t>
  </si>
  <si>
    <t>город; срок; формат работы</t>
  </si>
  <si>
    <t>Сколько точек?; Нужен фотоотчет?; Почасовая оплата?</t>
  </si>
  <si>
    <t>Специальность; Город; Рейтинг; Прайс</t>
  </si>
  <si>
    <t>Персонал → Мерчендайзеры</t>
  </si>
  <si>
    <t>Исполнители рядом с указанием ставки</t>
  </si>
  <si>
    <t>Ищу промоутера раздавать листовки возле ТЦ</t>
  </si>
  <si>
    <t>Интент: промо-акция; офлайн</t>
  </si>
  <si>
    <t>локация; дата; часы работы</t>
  </si>
  <si>
    <t>Сколько часов?; Сколько человек нужно?; Нужна форма?</t>
  </si>
  <si>
    <t>Персонал → Промоутеры</t>
  </si>
  <si>
    <t>Доступные промоутеры на дату</t>
  </si>
  <si>
    <t>Нужно срочно ушить платье к пятнице</t>
  </si>
  <si>
    <t>Интент: ателье; срочно; тип изделия: платье</t>
  </si>
  <si>
    <t>тип изделия; срочность; город</t>
  </si>
  <si>
    <t>Какой объем работы?; Есть фото?; Когда мероприятие?</t>
  </si>
  <si>
    <t>Специальность; Город; Рейтинг; Прайс; Количество отзывов</t>
  </si>
  <si>
    <t>Ателье → Срочный ремонт</t>
  </si>
  <si>
    <t>Мастера с быстрым сроком выполнения</t>
  </si>
  <si>
    <t>Поменять молнию на куртке</t>
  </si>
  <si>
    <t>Интент: ремонт одежды; замена молнии</t>
  </si>
  <si>
    <t>тип ремонта; город</t>
  </si>
  <si>
    <t>Срочно ли?; В каком районе?; Есть фото?</t>
  </si>
  <si>
    <t>Специальность; Город; Прайс; Рейтинг</t>
  </si>
  <si>
    <t>Ателье → Ремонт</t>
  </si>
  <si>
    <t>Мастера с ценой за услугу</t>
  </si>
  <si>
    <t>Хочу пошить шторы в гостиную, нужна консультация по ткани</t>
  </si>
  <si>
    <t>Интент: пошив штор; консультация</t>
  </si>
  <si>
    <t>тип помещения; замер; город</t>
  </si>
  <si>
    <t>Размер окна?; Нужен выезд на замер?; Бюджет?</t>
  </si>
  <si>
    <t>Специальность; Портфолио; Рейтинг; Город</t>
  </si>
  <si>
    <t>Дом и интерьер → Шторы</t>
  </si>
  <si>
    <t>Дизайнеры с портфолио и услугой замера</t>
  </si>
  <si>
    <t>Нужно нанести логотип на 30 футболок для мероприятия</t>
  </si>
  <si>
    <t>Интент: нанесение принта; объем: 30; тип: футболки</t>
  </si>
  <si>
    <t>количество; тип изделия; логотип; город</t>
  </si>
  <si>
    <t>Какой размер логотипа?; Есть готовый макет?; Когда дедлайн?</t>
  </si>
  <si>
    <t>Специальность; Инвентарь/Навыки; Прайс; Город; Рейтинг</t>
  </si>
  <si>
    <t>Производство → Брендирование одежды</t>
  </si>
  <si>
    <t>Исполнители с примерами корпоративных заказов</t>
  </si>
  <si>
    <t>Срочно напечатать 500 визиток, макет есть</t>
  </si>
  <si>
    <t>Интент: печать визиток; тираж: 500; срочно</t>
  </si>
  <si>
    <t>тираж; срочность; наличие макета; город</t>
  </si>
  <si>
    <t>Какой размер?; Нужна ли ламинация?; Когда заберёте?</t>
  </si>
  <si>
    <t>Полиграфия → Печать</t>
  </si>
  <si>
    <t>Типографии с быстрым сроком изготовления</t>
  </si>
  <si>
    <t>Нужна световая вывеска для кофейни</t>
  </si>
  <si>
    <t>Интент: изготовление вывески; тип: световая; бизнес-объект</t>
  </si>
  <si>
    <t>тип вывески; размеры; город</t>
  </si>
  <si>
    <t>Какие размеры?; Нужен ли монтаж?; Есть дизайн?</t>
  </si>
  <si>
    <t>Специальность; Портфолио; Город; Рейтинг</t>
  </si>
  <si>
    <t>Наружная реклама → Вывески</t>
  </si>
  <si>
    <t>Компании с примерами работ для кафе</t>
  </si>
  <si>
    <t>Нужно сварить металлический каркас под лестницу</t>
  </si>
  <si>
    <t>Интент: сварочные работы; изделие: каркас</t>
  </si>
  <si>
    <t>тип конструкции; размеры; город</t>
  </si>
  <si>
    <t>Есть чертёж?; Какие размеры?; Нужен монтаж?</t>
  </si>
  <si>
    <t>Специальность; Опыт (лет); Инвентарь/Навыки; Город</t>
  </si>
  <si>
    <t>Производство → Металлоконструкции</t>
  </si>
  <si>
    <t>Мастера с опытом каркасных конструкций</t>
  </si>
  <si>
    <t>Ищу производство мерча для бренда — худи и шопперы</t>
  </si>
  <si>
    <t>Интент: производство мерча; тип: одежда и аксессуары</t>
  </si>
  <si>
    <t>тип продукции; объем; брендирование</t>
  </si>
  <si>
    <t>Какой тираж?; Нужна упаковка?; Есть дизайн?</t>
  </si>
  <si>
    <t>Специальность; Кейсы; Прайс; Рейтинг</t>
  </si>
  <si>
    <t>Производство → Мерч</t>
  </si>
  <si>
    <t>Производители с портфолио брендов</t>
  </si>
  <si>
    <t>Нужно сделать лазерную гравировку на подарочных ручках</t>
  </si>
  <si>
    <t>Интент: гравировка; материал: металл; объем: не указан</t>
  </si>
  <si>
    <t>материал; текст/дизайн; количество</t>
  </si>
  <si>
    <t>Сколько штук?; Есть макет?; Когда нужно?</t>
  </si>
  <si>
    <t>Специальность; Инвентарь/Навыки; Прайс; Город</t>
  </si>
  <si>
    <t>Производство → Гравировка</t>
  </si>
  <si>
    <t>Мастера с лазерным оборудованием</t>
  </si>
  <si>
    <t>Нужен цех для сборки 1000 единиц продукции ежемесячно</t>
  </si>
  <si>
    <t>Интент: контрактная сборка; объем: 1000/мес</t>
  </si>
  <si>
    <t>объем; тип продукции; город</t>
  </si>
  <si>
    <t>Какая продукция?; Нужна упаковка?; Сроки запуска?</t>
  </si>
  <si>
    <t>Специальность; Инвентарь/Навыки; Опыт (лет); Город</t>
  </si>
  <si>
    <t>Производство → Контрактная сборка</t>
  </si>
  <si>
    <t>Цеха с подходящей мощностью</t>
  </si>
  <si>
    <t>Некому выгулять лабрадора 2 раза в день в будни</t>
  </si>
  <si>
    <t>Интент: выгул; порода: лабрадор; частота: 2 раза/день</t>
  </si>
  <si>
    <t>порода; частота; район</t>
  </si>
  <si>
    <t>В каком районе?; Сколько минут прогулка?; Постоянно или временно?</t>
  </si>
  <si>
    <t>Специальность; Город; Рейтинг; Количество отзывов</t>
  </si>
  <si>
    <t>Услуги для животных → Выгул</t>
  </si>
  <si>
    <t>Догситтеры рядом с отзывами</t>
  </si>
  <si>
    <t>Нужно оставить кота на 10 дней на время отпуска</t>
  </si>
  <si>
    <t>Интент: передержка; животное: кот; срок: 10 дней</t>
  </si>
  <si>
    <t>тип животного; срок; город</t>
  </si>
  <si>
    <t>Есть прививки?; Нужен отдельный вольер?; В каком районе вы?</t>
  </si>
  <si>
    <t>Специальность; Город; Рейтинг; Статус проверки</t>
  </si>
  <si>
    <t>Зоосервис → Передержка</t>
  </si>
  <si>
    <t>Проверенные исполнители с условиями проживания</t>
  </si>
  <si>
    <t>Подстричь шпица перед выставкой</t>
  </si>
  <si>
    <t>Интент: груминг; порода: шпиц; цель: выставка</t>
  </si>
  <si>
    <t>порода; тип стрижки; город</t>
  </si>
  <si>
    <t>Салон или выезд?; Когда мероприятие?; Вес собаки?</t>
  </si>
  <si>
    <t>Зоосервис → Груминг</t>
  </si>
  <si>
    <t>Грумеры с выставочным опытом</t>
  </si>
  <si>
    <t>Собака не слушается, нужна дрессировка</t>
  </si>
  <si>
    <t>Интент: дрессировка; проблема поведения</t>
  </si>
  <si>
    <t>возраст; порода; формат занятий</t>
  </si>
  <si>
    <t>Сколько месяцев собаке?; Индивидуально или группа?; Район?</t>
  </si>
  <si>
    <t>Специальность; Опыт (лет); Рейтинг; Количество отзывов</t>
  </si>
  <si>
    <t>Зоосервис → Дрессировка</t>
  </si>
  <si>
    <t>Кинологи с опытом коррекции поведения</t>
  </si>
  <si>
    <t>Нужна зооняня приходить кормить кошку 5 дней</t>
  </si>
  <si>
    <t>Интент: зооняня; срок: 5 дней</t>
  </si>
  <si>
    <t>тип животного; срок; район</t>
  </si>
  <si>
    <t>Сколько раз в день?; Нужно ли убирать лоток?; В каком районе?</t>
  </si>
  <si>
    <t>Зоосервис → Зооняня</t>
  </si>
  <si>
    <t>Исполнители рядом</t>
  </si>
  <si>
    <t>Нужно отвезти собаку к ветеринару завтра утром</t>
  </si>
  <si>
    <t>Интент: зоотакси; дата: завтра; цель: ветклиника</t>
  </si>
  <si>
    <t>дата; маршрут; размер животного</t>
  </si>
  <si>
    <t>Откуда и куда?; Вес собаки?; Нужна переноска?</t>
  </si>
  <si>
    <t>Специальность; Город; Рейтинг</t>
  </si>
  <si>
    <t>Зоосервис → Зоотакси</t>
  </si>
  <si>
    <t>Водители с опытом перевозки животных</t>
  </si>
  <si>
    <t>Нужно почистить уши и глаза коту на дому</t>
  </si>
  <si>
    <t>Интент: уход за котом; выезд</t>
  </si>
  <si>
    <t>тип процедуры; выезд; город</t>
  </si>
  <si>
    <t>Возраст кота?; Есть агрессия?; Когда удобно?</t>
  </si>
  <si>
    <t>Зоосервис → Уход</t>
  </si>
  <si>
    <t>Специалисты с выездом</t>
  </si>
  <si>
    <t>Подстричь когти собаке, быстро и без стресса</t>
  </si>
  <si>
    <t>Интент: стрижка когтей; животное: собака</t>
  </si>
  <si>
    <t>тип животного; город</t>
  </si>
  <si>
    <t>Вес собаки?; Выезд или салон?</t>
  </si>
  <si>
    <t>Зоосервис → Гигиена</t>
  </si>
  <si>
    <t>Нужно расчистить двор частного дома после снегопада</t>
  </si>
  <si>
    <t>Интент: уборка снега; объект: частный дом</t>
  </si>
  <si>
    <t>тип объекта; площадь; город</t>
  </si>
  <si>
    <t>Какая площадь?; Нужна техника?; Когда нужно?</t>
  </si>
  <si>
    <t>Специальность; Город; Инвентарь/Навыки</t>
  </si>
  <si>
    <t>Сезонные услуги → Уборка снега</t>
  </si>
  <si>
    <t>Исполнители с техникой</t>
  </si>
  <si>
    <t>Покосить газон на участке 8 соток</t>
  </si>
  <si>
    <t>Интент: покос травы; площадь: 8 соток</t>
  </si>
  <si>
    <t>площадь; город</t>
  </si>
  <si>
    <t>Есть ли электричество?; Когда нужно?</t>
  </si>
  <si>
    <t>Садовые работы → Покос</t>
  </si>
  <si>
    <t>Садовники с техникой</t>
  </si>
  <si>
    <t>Ищу садовника на регулярный уход за участком</t>
  </si>
  <si>
    <t>Интент: садовник; регулярное обслуживание</t>
  </si>
  <si>
    <t>частота; площадь; город</t>
  </si>
  <si>
    <t>Сколько соток?; Какие работы нужны?; Бюджет?</t>
  </si>
  <si>
    <t>Специальность; Опыт (лет); Рейтинг; Город</t>
  </si>
  <si>
    <t>Садовые работы → Обслуживание</t>
  </si>
  <si>
    <t>Садовники с опытом</t>
  </si>
  <si>
    <t>Нужно озеленить двор возле офиса</t>
  </si>
  <si>
    <t>Интент: озеленение; коммерческий объект</t>
  </si>
  <si>
    <t>площадь; тип объекта; город</t>
  </si>
  <si>
    <t>Есть план?; Нужен дизайн?; Бюджет?</t>
  </si>
  <si>
    <t>Специальность; Портфолио; Опыт (лет); Город</t>
  </si>
  <si>
    <t>Ландшафт → Озеленение</t>
  </si>
  <si>
    <t>Компании с проектами</t>
  </si>
  <si>
    <t>Нужно обрезать высокие деревья на участке</t>
  </si>
  <si>
    <t>Интент: обрезка деревьев; высота: высокая</t>
  </si>
  <si>
    <t>количество; высота; город</t>
  </si>
  <si>
    <t>Сколько деревьев?; Нужна автовышка?</t>
  </si>
  <si>
    <t>Специальность; Инвентарь/Навыки; Город</t>
  </si>
  <si>
    <t>Садовые работы → Обрезка</t>
  </si>
  <si>
    <t>Специалисты с оборудованием</t>
  </si>
  <si>
    <t>Нужно убрать строительный мусор с участка</t>
  </si>
  <si>
    <t>Интент: уборка территории; тип: строительный мусор</t>
  </si>
  <si>
    <t>тип мусора; объем; город</t>
  </si>
  <si>
    <t>Какой объем?; Нужен вывоз?</t>
  </si>
  <si>
    <t>Клининг → Территория</t>
  </si>
  <si>
    <t>Бригады с вывозом</t>
  </si>
  <si>
    <t>Установить капельный полив на даче</t>
  </si>
  <si>
    <t>Интент: монтаж полива; объект: дача</t>
  </si>
  <si>
    <t>площадь; источник воды; город</t>
  </si>
  <si>
    <t>Сколько соток?; Есть скважина?</t>
  </si>
  <si>
    <t>Специальность; Опыт (лет); Город</t>
  </si>
  <si>
    <t>Садовые системы → Полив</t>
  </si>
  <si>
    <t>Монтажники с проектированием</t>
  </si>
  <si>
    <t>Поставить 4 камеры в офисе</t>
  </si>
  <si>
    <t>Интент: видеонаблюдение; количество: 4; объект: офис</t>
  </si>
  <si>
    <t>количество; тип объекта; город</t>
  </si>
  <si>
    <t>Есть оборудование?; Нужен удаленный доступ?</t>
  </si>
  <si>
    <t>Безопасность → Видеонаблюдение</t>
  </si>
  <si>
    <t>Монтажники с кейсами офисов</t>
  </si>
  <si>
    <t>Нужно установить сигнализацию в квартиру</t>
  </si>
  <si>
    <t>Интент: сигнализация; объект: квартира</t>
  </si>
  <si>
    <t>тип объекта; город</t>
  </si>
  <si>
    <t>Какая площадь?; Нужна ли охранная компания?</t>
  </si>
  <si>
    <t>Специальность; Рейтинг; Город</t>
  </si>
  <si>
    <t>Безопасность → Сигнализация</t>
  </si>
  <si>
    <t>Специалисты рядом</t>
  </si>
  <si>
    <t>Установить систему доступа в офис</t>
  </si>
  <si>
    <t>Интент: СКУД; объект: офис</t>
  </si>
  <si>
    <t>тип объекта; количество точек; город</t>
  </si>
  <si>
    <t>Сколько дверей?; Нужны карты доступа?</t>
  </si>
  <si>
    <t>Безопасность → СКУД</t>
  </si>
  <si>
    <t>Компании с внедрением СКУД</t>
  </si>
  <si>
    <t>Хочу настроить умный дом в новой квартире</t>
  </si>
  <si>
    <t>Интент: умный дом; объект: квартира</t>
  </si>
  <si>
    <t>площадь; тип систем; город</t>
  </si>
  <si>
    <t>Какие функции нужны?; Уже есть оборудование?</t>
  </si>
  <si>
    <t>Специальность; Опыт (лет); Портфолио; Город</t>
  </si>
  <si>
    <t>Smart systems → Умный дом</t>
  </si>
  <si>
    <t>Интеграторы с кейсами</t>
  </si>
  <si>
    <t>Проложить сетевой кабель в офисе</t>
  </si>
  <si>
    <t>Интент: монтаж кабеля; объект: офис</t>
  </si>
  <si>
    <t>метраж; город</t>
  </si>
  <si>
    <t>Сколько метров?; Скрытая прокладка?</t>
  </si>
  <si>
    <t>Сети → Монтаж</t>
  </si>
  <si>
    <t>Монтажники рядом</t>
  </si>
  <si>
    <t>Настроить Wi-Fi и сервер в небольшом офисе</t>
  </si>
  <si>
    <t>Интент: настройка сети; объект: офис</t>
  </si>
  <si>
    <t>количество рабочих мест; город</t>
  </si>
  <si>
    <t>Сколько сотрудников?; Есть сервер?</t>
  </si>
  <si>
    <t>IT-услуги → Сети</t>
  </si>
  <si>
    <t>Системные администраторы</t>
  </si>
  <si>
    <t>Поменять замок во входной двери</t>
  </si>
  <si>
    <t>Интент: замена замка; объект: дверь</t>
  </si>
  <si>
    <t>тип замка; город; срочность</t>
  </si>
  <si>
    <t>Какой тип замка?; Срочно ли?</t>
  </si>
  <si>
    <t>Безопасность → Замки</t>
  </si>
  <si>
    <t>Мастера рядом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</si>
</sst>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.m"/>
  </numFmts>
  <fonts count="16">
    <font>
      <sz val="10.0"/>
      <color rgb="FF000000"/>
      <name val="Arial"/>
      <scheme val="minor"/>
    </font>
    <font>
      <b/>
      <sz val="10.0"/>
      <color rgb="FFFFFFFF"/>
      <name val="Calibri"/>
    </font>
    <font>
      <sz val="10.0"/>
      <color rgb="FF000000"/>
      <name val="Calibri"/>
    </font>
    <font>
      <sz val="10.0"/>
      <color theme="1"/>
      <name val="Arial"/>
      <scheme val="minor"/>
    </font>
    <font>
      <b/>
      <sz val="9.0"/>
      <color rgb="FFFFFFFF"/>
      <name val="Calibri"/>
    </font>
    <font>
      <sz val="9.0"/>
      <color rgb="FF000000"/>
      <name val="Calibri"/>
    </font>
    <font>
      <sz val="9.0"/>
      <color theme="1"/>
      <name val="Arial"/>
      <scheme val="minor"/>
    </font>
    <font>
      <color theme="1"/>
      <name val="Arial"/>
      <scheme val="minor"/>
    </font>
    <font>
      <sz val="9.0"/>
      <color theme="1"/>
      <name val="Google Sans Text"/>
    </font>
    <font>
      <sz val="12.0"/>
      <color theme="1"/>
      <name val="Calibri"/>
    </font>
    <font>
      <sz val="12.0"/>
      <color theme="1"/>
      <name val="Arial"/>
      <scheme val="minor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</font>
    <font>
      <b/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93C66"/>
        <bgColor rgb="FF193C66"/>
      </patternFill>
    </fill>
    <fill>
      <patternFill patternType="solid">
        <fgColor rgb="FFFFFFFF"/>
        <bgColor rgb="FFFFFFFF"/>
      </patternFill>
    </fill>
    <fill>
      <patternFill patternType="solid">
        <fgColor rgb="FFABC1DE"/>
        <bgColor rgb="FFABC1DE"/>
      </patternFill>
    </fill>
    <fill>
      <patternFill patternType="solid">
        <fgColor rgb="FF4A86E8"/>
        <bgColor rgb="FF4A86E8"/>
      </patternFill>
    </fill>
    <fill>
      <patternFill patternType="solid">
        <fgColor rgb="FFD4DFEE"/>
        <bgColor rgb="FFD4DFEE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top style="thin">
        <color rgb="FF000000"/>
      </top>
      <bottom style="thin">
        <color rgb="FF9A9A9A"/>
      </bottom>
    </border>
    <border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2" fontId="4" numFmtId="0" xfId="0" applyAlignment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/>
    </xf>
    <xf borderId="5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0" fillId="4" fontId="5" numFmtId="0" xfId="0" applyAlignment="1" applyFont="1">
      <alignment horizontal="left" readingOrder="0" shrinkToFit="0" vertical="top" wrapText="1"/>
    </xf>
    <xf borderId="7" fillId="0" fontId="7" numFmtId="0" xfId="0" applyAlignment="1" applyBorder="1" applyFont="1">
      <alignment horizontal="left" shrinkToFit="0" wrapText="1"/>
    </xf>
    <xf borderId="8" fillId="0" fontId="7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7" fillId="3" fontId="8" numFmtId="0" xfId="0" applyAlignment="1" applyBorder="1" applyFont="1">
      <alignment horizontal="left" vertical="bottom"/>
    </xf>
    <xf borderId="0" fillId="3" fontId="8" numFmtId="0" xfId="0" applyAlignment="1" applyFont="1">
      <alignment horizontal="left" vertical="bottom"/>
    </xf>
    <xf borderId="1" fillId="0" fontId="7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/>
    </xf>
    <xf borderId="0" fillId="4" fontId="5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shrinkToFit="0" wrapText="1"/>
    </xf>
    <xf borderId="0" fillId="3" fontId="8" numFmtId="0" xfId="0" applyAlignment="1" applyFont="1">
      <alignment vertical="bottom"/>
    </xf>
    <xf borderId="0" fillId="3" fontId="7" numFmtId="0" xfId="0" applyFont="1"/>
    <xf borderId="0" fillId="5" fontId="9" numFmtId="0" xfId="0" applyAlignment="1" applyFill="1" applyFont="1">
      <alignment horizontal="center" readingOrder="0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6" fontId="11" numFmtId="0" xfId="0" applyAlignment="1" applyFill="1" applyFont="1">
      <alignment readingOrder="0"/>
    </xf>
    <xf borderId="0" fillId="6" fontId="11" numFmtId="9" xfId="0" applyAlignment="1" applyFont="1" applyNumberFormat="1">
      <alignment readingOrder="0"/>
    </xf>
    <xf borderId="0" fillId="6" fontId="12" numFmtId="0" xfId="0" applyAlignment="1" applyFont="1">
      <alignment readingOrder="0"/>
    </xf>
    <xf borderId="0" fillId="6" fontId="11" numFmtId="165" xfId="0" applyAlignment="1" applyFont="1" applyNumberFormat="1">
      <alignment readingOrder="0"/>
    </xf>
    <xf borderId="0" fillId="6" fontId="11" numFmtId="0" xfId="0" applyAlignment="1" applyFont="1">
      <alignment readingOrder="0" shrinkToFit="0" wrapText="1"/>
    </xf>
    <xf borderId="0" fillId="6" fontId="11" numFmtId="0" xfId="0" applyFont="1"/>
    <xf borderId="0" fillId="6" fontId="7" numFmtId="0" xfId="0" applyFont="1"/>
    <xf borderId="0" fillId="7" fontId="11" numFmtId="0" xfId="0" applyAlignment="1" applyFill="1" applyFont="1">
      <alignment readingOrder="0"/>
    </xf>
    <xf borderId="0" fillId="7" fontId="11" numFmtId="9" xfId="0" applyAlignment="1" applyFont="1" applyNumberFormat="1">
      <alignment readingOrder="0"/>
    </xf>
    <xf borderId="0" fillId="7" fontId="11" numFmtId="165" xfId="0" applyAlignment="1" applyFont="1" applyNumberFormat="1">
      <alignment readingOrder="0"/>
    </xf>
    <xf borderId="0" fillId="7" fontId="11" numFmtId="0" xfId="0" applyAlignment="1" applyFont="1">
      <alignment readingOrder="0" shrinkToFit="0" wrapText="1"/>
    </xf>
    <xf borderId="0" fillId="0" fontId="11" numFmtId="0" xfId="0" applyFont="1"/>
    <xf borderId="0" fillId="7" fontId="13" numFmtId="0" xfId="0" applyAlignment="1" applyFont="1">
      <alignment readingOrder="0"/>
    </xf>
    <xf borderId="0" fillId="7" fontId="7" numFmtId="0" xfId="0" applyAlignment="1" applyFont="1">
      <alignment readingOrder="0"/>
    </xf>
    <xf borderId="0" fillId="7" fontId="7" numFmtId="9" xfId="0" applyAlignment="1" applyFont="1" applyNumberFormat="1">
      <alignment readingOrder="0"/>
    </xf>
    <xf borderId="0" fillId="7" fontId="14" numFmtId="0" xfId="0" applyAlignment="1" applyFont="1">
      <alignment readingOrder="0"/>
    </xf>
    <xf borderId="0" fillId="7" fontId="7" numFmtId="165" xfId="0" applyAlignment="1" applyFont="1" applyNumberFormat="1">
      <alignment readingOrder="0"/>
    </xf>
    <xf borderId="0" fillId="7" fontId="7" numFmtId="0" xfId="0" applyAlignment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2" fontId="15" numFmtId="0" xfId="0" applyAlignment="1" applyBorder="1" applyFont="1">
      <alignment horizontal="center" readingOrder="0" shrinkToFit="0" vertical="center" wrapText="1"/>
    </xf>
    <xf borderId="0" fillId="3" fontId="3" numFmtId="0" xfId="0" applyFont="1"/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shrinkToFit="0" vertical="center" wrapText="1"/>
    </xf>
    <xf borderId="1" fillId="3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  <tableStyles count="5">
    <tableStyle count="3" pivot="0" name="база услуг-style">
      <tableStyleElement dxfId="1" type="headerRow"/>
      <tableStyleElement dxfId="2" type="firstRowStripe"/>
      <tableStyleElement dxfId="3" type="secondRowStripe"/>
    </tableStyle>
    <tableStyle count="3" pivot="0" name="база специалистов-style">
      <tableStyleElement dxfId="1" type="headerRow"/>
      <tableStyleElement dxfId="4" type="firstRowStripe"/>
      <tableStyleElement dxfId="3" type="secondRowStripe"/>
    </tableStyle>
    <tableStyle count="3" pivot="0" name="NLP_услуги-style">
      <tableStyleElement dxfId="1" type="headerRow"/>
      <tableStyleElement dxfId="2" type="firstRowStripe"/>
      <tableStyleElement dxfId="3" type="secondRowStripe"/>
    </tableStyle>
    <tableStyle count="3" pivot="0" name="NLP_специалисты-style">
      <tableStyleElement dxfId="1" type="headerRow"/>
      <tableStyleElement dxfId="2" type="firstRowStripe"/>
      <tableStyleElement dxfId="3" type="secondRowStripe"/>
    </tableStyle>
    <tableStyle count="3" pivot="0" name="NLP_специалисты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C177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база услуг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T221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база специалистов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J1000" displayName="Table_3" name="Table_3" id="3">
  <tableColumns count="10">
    <tableColumn name="ID" id="1"/>
    <tableColumn name="Название услуги" id="2"/>
    <tableColumn name="Категория (для навигации)" id="3"/>
    <tableColumn name="Пример запроса пользователя" id="4"/>
    <tableColumn name="NLP (что поняла система)" id="5"/>
    <tableColumn name="Ключевые слоты (что извлечь)" id="6"/>
    <tableColumn name="Уточняющие вопросы (2–4)" id="7"/>
    <tableColumn name="Фильтры по базе услуг (какие поля)" id="8"/>
    <tableColumn name="Куда ведём в платформе (экран/флоу)" id="9"/>
    <tableColumn name="Результат/подбор (что показать)" id="10"/>
  </tableColumns>
  <tableStyleInfo name="NLP_услуги-style" showColumnStripes="0" showFirstColumn="1" showLastColumn="1" showRowStripes="1"/>
</table>
</file>

<file path=xl/tables/table4.xml><?xml version="1.0" encoding="utf-8"?>
<table xmlns="http://schemas.openxmlformats.org/spreadsheetml/2006/main" ref="A1:I178" displayName="Table_4" name="Table_4" id="4">
  <tableColumns count="9">
    <tableColumn name="ID" id="1"/>
    <tableColumn name="Название услуги" id="2"/>
    <tableColumn name="Пример запроса пользователя" id="3"/>
    <tableColumn name="NLP (что поняла система)" id="4"/>
    <tableColumn name="Ключевые слоты (что извлечь)" id="5"/>
    <tableColumn name="Уточняющие вопросы (2–4)" id="6"/>
    <tableColumn name="Фильтры по базе (какие поля)" id="7"/>
    <tableColumn name="Куда ведём в платформе (экран/флоу)" id="8"/>
    <tableColumn name="Результат/подбор (что показать)" id="9"/>
  </tableColumns>
  <tableStyleInfo name="NLP_специалисты-style" showColumnStripes="0" showFirstColumn="1" showLastColumn="1" showRowStripes="1"/>
</table>
</file>

<file path=xl/tables/table5.xml><?xml version="1.0" encoding="utf-8"?>
<table xmlns="http://schemas.openxmlformats.org/spreadsheetml/2006/main" headerRowCount="0" ref="M124" displayName="Table_5" name="Table_5" id="5">
  <tableColumns count="1">
    <tableColumn name="Column1" id="1"/>
  </tableColumns>
  <tableStyleInfo name="NLP_специалисты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behance.net/aidana-mkt" TargetMode="External"/><Relationship Id="rId42" Type="http://schemas.openxmlformats.org/officeDocument/2006/relationships/hyperlink" Target="http://github.com/daniyar-py" TargetMode="External"/><Relationship Id="rId41" Type="http://schemas.openxmlformats.org/officeDocument/2006/relationships/hyperlink" Target="http://drive.google.com/talgat-mkt" TargetMode="External"/><Relationship Id="rId44" Type="http://schemas.openxmlformats.org/officeDocument/2006/relationships/hyperlink" Target="http://github.com/aruzhan-py" TargetMode="External"/><Relationship Id="rId43" Type="http://schemas.openxmlformats.org/officeDocument/2006/relationships/hyperlink" Target="http://github.com/nikita-py" TargetMode="External"/><Relationship Id="rId46" Type="http://schemas.openxmlformats.org/officeDocument/2006/relationships/hyperlink" Target="http://github.com/ruslan-py" TargetMode="External"/><Relationship Id="rId45" Type="http://schemas.openxmlformats.org/officeDocument/2006/relationships/hyperlink" Target="http://github.com/erzhan-py" TargetMode="External"/><Relationship Id="rId107" Type="http://schemas.openxmlformats.org/officeDocument/2006/relationships/hyperlink" Target="http://t.me/sania.promo" TargetMode="External"/><Relationship Id="rId106" Type="http://schemas.openxmlformats.org/officeDocument/2006/relationships/hyperlink" Target="http://instagram.com/ilya.promo" TargetMode="External"/><Relationship Id="rId105" Type="http://schemas.openxmlformats.org/officeDocument/2006/relationships/hyperlink" Target="http://t.me/aruzhan.promo" TargetMode="External"/><Relationship Id="rId104" Type="http://schemas.openxmlformats.org/officeDocument/2006/relationships/hyperlink" Target="http://drive.google.com/nurlan-promo" TargetMode="External"/><Relationship Id="rId109" Type="http://schemas.openxmlformats.org/officeDocument/2006/relationships/hyperlink" Target="http://t.me/dilnaz.promo" TargetMode="External"/><Relationship Id="rId108" Type="http://schemas.openxmlformats.org/officeDocument/2006/relationships/hyperlink" Target="http://drive.google.com/pavel-promo" TargetMode="External"/><Relationship Id="rId48" Type="http://schemas.openxmlformats.org/officeDocument/2006/relationships/hyperlink" Target="http://github.com/timur-py" TargetMode="External"/><Relationship Id="rId47" Type="http://schemas.openxmlformats.org/officeDocument/2006/relationships/hyperlink" Target="http://github.com/diana-py" TargetMode="External"/><Relationship Id="rId49" Type="http://schemas.openxmlformats.org/officeDocument/2006/relationships/hyperlink" Target="http://github.com/olga-py" TargetMode="External"/><Relationship Id="rId103" Type="http://schemas.openxmlformats.org/officeDocument/2006/relationships/hyperlink" Target="http://instagram.com/aigerim.promo" TargetMode="External"/><Relationship Id="rId102" Type="http://schemas.openxmlformats.org/officeDocument/2006/relationships/hyperlink" Target="http://t.me/damir.promo" TargetMode="External"/><Relationship Id="rId101" Type="http://schemas.openxmlformats.org/officeDocument/2006/relationships/hyperlink" Target="http://instagram.com/alina.coffee" TargetMode="External"/><Relationship Id="rId100" Type="http://schemas.openxmlformats.org/officeDocument/2006/relationships/hyperlink" Target="http://instagram.com/artem.coffee" TargetMode="External"/><Relationship Id="rId31" Type="http://schemas.openxmlformats.org/officeDocument/2006/relationships/hyperlink" Target="http://instagram.com/kamilla.photo" TargetMode="External"/><Relationship Id="rId30" Type="http://schemas.openxmlformats.org/officeDocument/2006/relationships/hyperlink" Target="http://behance.net/maria.photo" TargetMode="External"/><Relationship Id="rId33" Type="http://schemas.openxmlformats.org/officeDocument/2006/relationships/hyperlink" Target="http://t.me/dilnaz.photo" TargetMode="External"/><Relationship Id="rId32" Type="http://schemas.openxmlformats.org/officeDocument/2006/relationships/hyperlink" Target="http://behance.net/sergey.photo" TargetMode="External"/><Relationship Id="rId35" Type="http://schemas.openxmlformats.org/officeDocument/2006/relationships/hyperlink" Target="http://behance.net/damir-mkt" TargetMode="External"/><Relationship Id="rId34" Type="http://schemas.openxmlformats.org/officeDocument/2006/relationships/hyperlink" Target="http://behance.net/artem.photo" TargetMode="External"/><Relationship Id="rId180" Type="http://schemas.openxmlformats.org/officeDocument/2006/relationships/table" Target="../tables/table2.xml"/><Relationship Id="rId37" Type="http://schemas.openxmlformats.org/officeDocument/2006/relationships/hyperlink" Target="http://instagram.com/sania.mkt" TargetMode="External"/><Relationship Id="rId176" Type="http://schemas.openxmlformats.org/officeDocument/2006/relationships/hyperlink" Target="http://t.me/dilnaz-realty" TargetMode="External"/><Relationship Id="rId36" Type="http://schemas.openxmlformats.org/officeDocument/2006/relationships/hyperlink" Target="http://drive.google.com/aruzhan-mkt" TargetMode="External"/><Relationship Id="rId175" Type="http://schemas.openxmlformats.org/officeDocument/2006/relationships/hyperlink" Target="http://drive.google.com/nurzhan-realty" TargetMode="External"/><Relationship Id="rId39" Type="http://schemas.openxmlformats.org/officeDocument/2006/relationships/hyperlink" Target="http://drive.google.com/nurzhan-mkt" TargetMode="External"/><Relationship Id="rId174" Type="http://schemas.openxmlformats.org/officeDocument/2006/relationships/hyperlink" Target="http://t.me/erkebulan.realty" TargetMode="External"/><Relationship Id="rId38" Type="http://schemas.openxmlformats.org/officeDocument/2006/relationships/hyperlink" Target="http://t.me/ermek.mkt" TargetMode="External"/><Relationship Id="rId173" Type="http://schemas.openxmlformats.org/officeDocument/2006/relationships/hyperlink" Target="http://instagram.com/aliya.home" TargetMode="External"/><Relationship Id="rId178" Type="http://schemas.openxmlformats.org/officeDocument/2006/relationships/drawing" Target="../drawings/drawing3.xml"/><Relationship Id="rId177" Type="http://schemas.openxmlformats.org/officeDocument/2006/relationships/hyperlink" Target="http://drive.google.com/alina-realty" TargetMode="External"/><Relationship Id="rId20" Type="http://schemas.openxmlformats.org/officeDocument/2006/relationships/hyperlink" Target="http://drive.google.com/aibek-edit" TargetMode="External"/><Relationship Id="rId22" Type="http://schemas.openxmlformats.org/officeDocument/2006/relationships/hyperlink" Target="http://t.me/karina-edit" TargetMode="External"/><Relationship Id="rId21" Type="http://schemas.openxmlformats.org/officeDocument/2006/relationships/hyperlink" Target="http://behance.net/sofia-edit" TargetMode="External"/><Relationship Id="rId24" Type="http://schemas.openxmlformats.org/officeDocument/2006/relationships/hyperlink" Target="http://instagram.com/zhanat.edit" TargetMode="External"/><Relationship Id="rId23" Type="http://schemas.openxmlformats.org/officeDocument/2006/relationships/hyperlink" Target="http://drive.google.com/max-edit" TargetMode="External"/><Relationship Id="rId129" Type="http://schemas.openxmlformats.org/officeDocument/2006/relationships/hyperlink" Target="http://instagram.com/alina.event" TargetMode="External"/><Relationship Id="rId128" Type="http://schemas.openxmlformats.org/officeDocument/2006/relationships/hyperlink" Target="http://behance.net/artem-event" TargetMode="External"/><Relationship Id="rId127" Type="http://schemas.openxmlformats.org/officeDocument/2006/relationships/hyperlink" Target="http://t.me/dilnaz.event" TargetMode="External"/><Relationship Id="rId126" Type="http://schemas.openxmlformats.org/officeDocument/2006/relationships/hyperlink" Target="http://t.me/ermek.event" TargetMode="External"/><Relationship Id="rId26" Type="http://schemas.openxmlformats.org/officeDocument/2006/relationships/hyperlink" Target="http://instagram.com/aidana.photo" TargetMode="External"/><Relationship Id="rId121" Type="http://schemas.openxmlformats.org/officeDocument/2006/relationships/hyperlink" Target="http://t.me/alina.delivery" TargetMode="External"/><Relationship Id="rId25" Type="http://schemas.openxmlformats.org/officeDocument/2006/relationships/hyperlink" Target="http://behance.net/ilya-edit" TargetMode="External"/><Relationship Id="rId120" Type="http://schemas.openxmlformats.org/officeDocument/2006/relationships/hyperlink" Target="http://drive.google.com/sergey-delivery" TargetMode="External"/><Relationship Id="rId28" Type="http://schemas.openxmlformats.org/officeDocument/2006/relationships/hyperlink" Target="http://instagram.com/alina.photo" TargetMode="External"/><Relationship Id="rId27" Type="http://schemas.openxmlformats.org/officeDocument/2006/relationships/hyperlink" Target="http://behance.net/rustam.photo" TargetMode="External"/><Relationship Id="rId125" Type="http://schemas.openxmlformats.org/officeDocument/2006/relationships/hyperlink" Target="http://instagram.com/sania.event" TargetMode="External"/><Relationship Id="rId29" Type="http://schemas.openxmlformats.org/officeDocument/2006/relationships/hyperlink" Target="http://t.me/nurbek.photo" TargetMode="External"/><Relationship Id="rId124" Type="http://schemas.openxmlformats.org/officeDocument/2006/relationships/hyperlink" Target="http://behance.net/sergey-event" TargetMode="External"/><Relationship Id="rId123" Type="http://schemas.openxmlformats.org/officeDocument/2006/relationships/hyperlink" Target="http://t.me/aisha.event" TargetMode="External"/><Relationship Id="rId122" Type="http://schemas.openxmlformats.org/officeDocument/2006/relationships/hyperlink" Target="http://instagram.com/meruert.event" TargetMode="External"/><Relationship Id="rId95" Type="http://schemas.openxmlformats.org/officeDocument/2006/relationships/hyperlink" Target="http://t.me/sania.coffee" TargetMode="External"/><Relationship Id="rId94" Type="http://schemas.openxmlformats.org/officeDocument/2006/relationships/hyperlink" Target="http://instagram.com/roman.coffee" TargetMode="External"/><Relationship Id="rId97" Type="http://schemas.openxmlformats.org/officeDocument/2006/relationships/hyperlink" Target="http://instagram.com/olga.coffee" TargetMode="External"/><Relationship Id="rId96" Type="http://schemas.openxmlformats.org/officeDocument/2006/relationships/hyperlink" Target="http://t.me/ermek.coffee" TargetMode="External"/><Relationship Id="rId11" Type="http://schemas.openxmlformats.org/officeDocument/2006/relationships/hyperlink" Target="http://behance.net/timur.mobile" TargetMode="External"/><Relationship Id="rId99" Type="http://schemas.openxmlformats.org/officeDocument/2006/relationships/hyperlink" Target="http://t.me/dilnaz.coffee" TargetMode="External"/><Relationship Id="rId10" Type="http://schemas.openxmlformats.org/officeDocument/2006/relationships/hyperlink" Target="http://instagram.com/aisha.mobile" TargetMode="External"/><Relationship Id="rId98" Type="http://schemas.openxmlformats.org/officeDocument/2006/relationships/hyperlink" Target="http://drive.google.com/nurzhan-coffee" TargetMode="External"/><Relationship Id="rId13" Type="http://schemas.openxmlformats.org/officeDocument/2006/relationships/hyperlink" Target="http://t.me/ermek.mobile" TargetMode="External"/><Relationship Id="rId12" Type="http://schemas.openxmlformats.org/officeDocument/2006/relationships/hyperlink" Target="http://instagram.com/saniya.mobile" TargetMode="External"/><Relationship Id="rId91" Type="http://schemas.openxmlformats.org/officeDocument/2006/relationships/hyperlink" Target="http://instagram.com/nurzhan.nails" TargetMode="External"/><Relationship Id="rId90" Type="http://schemas.openxmlformats.org/officeDocument/2006/relationships/hyperlink" Target="http://instagram.com/alina.nails" TargetMode="External"/><Relationship Id="rId93" Type="http://schemas.openxmlformats.org/officeDocument/2006/relationships/hyperlink" Target="http://drive.google.com/timur-barista" TargetMode="External"/><Relationship Id="rId92" Type="http://schemas.openxmlformats.org/officeDocument/2006/relationships/hyperlink" Target="http://instagram.com/aidana.barista" TargetMode="External"/><Relationship Id="rId118" Type="http://schemas.openxmlformats.org/officeDocument/2006/relationships/hyperlink" Target="http://drive.google.com/nurzhan-delivery" TargetMode="External"/><Relationship Id="rId117" Type="http://schemas.openxmlformats.org/officeDocument/2006/relationships/hyperlink" Target="http://t.me/sania.delivery" TargetMode="External"/><Relationship Id="rId116" Type="http://schemas.openxmlformats.org/officeDocument/2006/relationships/hyperlink" Target="http://drive.google.com/oleg-delivery" TargetMode="External"/><Relationship Id="rId115" Type="http://schemas.openxmlformats.org/officeDocument/2006/relationships/hyperlink" Target="http://t.me/aruzhan.delivery" TargetMode="External"/><Relationship Id="rId119" Type="http://schemas.openxmlformats.org/officeDocument/2006/relationships/hyperlink" Target="http://t.me/dilnaz.delivery" TargetMode="External"/><Relationship Id="rId15" Type="http://schemas.openxmlformats.org/officeDocument/2006/relationships/hyperlink" Target="http://t.me/dilnaz.mobile" TargetMode="External"/><Relationship Id="rId110" Type="http://schemas.openxmlformats.org/officeDocument/2006/relationships/hyperlink" Target="http://instagram.com/zhanat.promo" TargetMode="External"/><Relationship Id="rId14" Type="http://schemas.openxmlformats.org/officeDocument/2006/relationships/hyperlink" Target="http://drive.google.com/roman-mobile" TargetMode="External"/><Relationship Id="rId17" Type="http://schemas.openxmlformats.org/officeDocument/2006/relationships/hyperlink" Target="http://t.me/aruzhan.mobile" TargetMode="External"/><Relationship Id="rId16" Type="http://schemas.openxmlformats.org/officeDocument/2006/relationships/hyperlink" Target="http://instagram.com/arman.pro" TargetMode="External"/><Relationship Id="rId19" Type="http://schemas.openxmlformats.org/officeDocument/2006/relationships/hyperlink" Target="http://t.me/alina.edit" TargetMode="External"/><Relationship Id="rId114" Type="http://schemas.openxmlformats.org/officeDocument/2006/relationships/hyperlink" Target="http://t.me/daniyar.delivery" TargetMode="External"/><Relationship Id="rId18" Type="http://schemas.openxmlformats.org/officeDocument/2006/relationships/hyperlink" Target="http://behance.net/nikita-edit" TargetMode="External"/><Relationship Id="rId113" Type="http://schemas.openxmlformats.org/officeDocument/2006/relationships/hyperlink" Target="http://drive.google.com/aibek-delivery" TargetMode="External"/><Relationship Id="rId112" Type="http://schemas.openxmlformats.org/officeDocument/2006/relationships/hyperlink" Target="http://t.me/ruslan.delivery" TargetMode="External"/><Relationship Id="rId111" Type="http://schemas.openxmlformats.org/officeDocument/2006/relationships/hyperlink" Target="http://drive.google.com/alina-promo" TargetMode="External"/><Relationship Id="rId84" Type="http://schemas.openxmlformats.org/officeDocument/2006/relationships/hyperlink" Target="http://instagram.com/sania.nails" TargetMode="External"/><Relationship Id="rId83" Type="http://schemas.openxmlformats.org/officeDocument/2006/relationships/hyperlink" Target="http://instagram.com/zhanar.nails" TargetMode="External"/><Relationship Id="rId86" Type="http://schemas.openxmlformats.org/officeDocument/2006/relationships/hyperlink" Target="http://instagram.com/olga.nails" TargetMode="External"/><Relationship Id="rId85" Type="http://schemas.openxmlformats.org/officeDocument/2006/relationships/hyperlink" Target="http://t.me/aruzhan.nails" TargetMode="External"/><Relationship Id="rId88" Type="http://schemas.openxmlformats.org/officeDocument/2006/relationships/hyperlink" Target="http://t.me/kamilla.nails" TargetMode="External"/><Relationship Id="rId150" Type="http://schemas.openxmlformats.org/officeDocument/2006/relationships/hyperlink" Target="http://t.me/dilnaz-tr" TargetMode="External"/><Relationship Id="rId87" Type="http://schemas.openxmlformats.org/officeDocument/2006/relationships/hyperlink" Target="http://instagram.com/diana.nails" TargetMode="External"/><Relationship Id="rId89" Type="http://schemas.openxmlformats.org/officeDocument/2006/relationships/hyperlink" Target="http://instagram.com/svetlana.nails" TargetMode="External"/><Relationship Id="rId80" Type="http://schemas.openxmlformats.org/officeDocument/2006/relationships/hyperlink" Target="http://instagram.com/svetlana.mua" TargetMode="External"/><Relationship Id="rId82" Type="http://schemas.openxmlformats.org/officeDocument/2006/relationships/hyperlink" Target="http://instagram.com/aliya.nails" TargetMode="External"/><Relationship Id="rId81" Type="http://schemas.openxmlformats.org/officeDocument/2006/relationships/hyperlink" Target="http://instagram.com/alina.mua" TargetMode="External"/><Relationship Id="rId1" Type="http://schemas.openxmlformats.org/officeDocument/2006/relationships/hyperlink" Target="http://instagram.com/aigerim.smm" TargetMode="External"/><Relationship Id="rId2" Type="http://schemas.openxmlformats.org/officeDocument/2006/relationships/hyperlink" Target="http://instagram.com/aruzhan.smm" TargetMode="External"/><Relationship Id="rId3" Type="http://schemas.openxmlformats.org/officeDocument/2006/relationships/hyperlink" Target="http://drive.google.com/ns-portfolio" TargetMode="External"/><Relationship Id="rId149" Type="http://schemas.openxmlformats.org/officeDocument/2006/relationships/hyperlink" Target="http://t.me/ermek-tr" TargetMode="External"/><Relationship Id="rId4" Type="http://schemas.openxmlformats.org/officeDocument/2006/relationships/hyperlink" Target="http://t.me/diana.smm" TargetMode="External"/><Relationship Id="rId148" Type="http://schemas.openxmlformats.org/officeDocument/2006/relationships/hyperlink" Target="http://drive.google.com/nurzhan-tr" TargetMode="External"/><Relationship Id="rId9" Type="http://schemas.openxmlformats.org/officeDocument/2006/relationships/hyperlink" Target="http://instagram.com/akbar.mobile" TargetMode="External"/><Relationship Id="rId143" Type="http://schemas.openxmlformats.org/officeDocument/2006/relationships/hyperlink" Target="http://t.me/ermek-math" TargetMode="External"/><Relationship Id="rId142" Type="http://schemas.openxmlformats.org/officeDocument/2006/relationships/hyperlink" Target="http://drive.google.com/nurzhan-ielts" TargetMode="External"/><Relationship Id="rId141" Type="http://schemas.openxmlformats.org/officeDocument/2006/relationships/hyperlink" Target="http://t.me/aruzhan-primary" TargetMode="External"/><Relationship Id="rId140" Type="http://schemas.openxmlformats.org/officeDocument/2006/relationships/hyperlink" Target="http://drive.google.com/aidana-eng" TargetMode="External"/><Relationship Id="rId5" Type="http://schemas.openxmlformats.org/officeDocument/2006/relationships/hyperlink" Target="http://behance.net/madina-smm" TargetMode="External"/><Relationship Id="rId147" Type="http://schemas.openxmlformats.org/officeDocument/2006/relationships/hyperlink" Target="http://t.me/salt-tr" TargetMode="External"/><Relationship Id="rId6" Type="http://schemas.openxmlformats.org/officeDocument/2006/relationships/hyperlink" Target="http://instagram.com/ernar.smm" TargetMode="External"/><Relationship Id="rId146" Type="http://schemas.openxmlformats.org/officeDocument/2006/relationships/hyperlink" Target="http://drive.google.com/aigerim-tr" TargetMode="External"/><Relationship Id="rId7" Type="http://schemas.openxmlformats.org/officeDocument/2006/relationships/hyperlink" Target="http://drive.google.com/daniyar-smm" TargetMode="External"/><Relationship Id="rId145" Type="http://schemas.openxmlformats.org/officeDocument/2006/relationships/hyperlink" Target="http://drive.google.com/alina-stem" TargetMode="External"/><Relationship Id="rId8" Type="http://schemas.openxmlformats.org/officeDocument/2006/relationships/hyperlink" Target="http://instagram.com/alina.brand" TargetMode="External"/><Relationship Id="rId144" Type="http://schemas.openxmlformats.org/officeDocument/2006/relationships/hyperlink" Target="http://t.me/dilnaz-bio" TargetMode="External"/><Relationship Id="rId73" Type="http://schemas.openxmlformats.org/officeDocument/2006/relationships/hyperlink" Target="http://instagram.com/madina.mua" TargetMode="External"/><Relationship Id="rId72" Type="http://schemas.openxmlformats.org/officeDocument/2006/relationships/hyperlink" Target="http://instagram.com/aidana.mua" TargetMode="External"/><Relationship Id="rId75" Type="http://schemas.openxmlformats.org/officeDocument/2006/relationships/hyperlink" Target="http://t.me/aruzhan.mua" TargetMode="External"/><Relationship Id="rId74" Type="http://schemas.openxmlformats.org/officeDocument/2006/relationships/hyperlink" Target="http://instagram.com/sania.mua" TargetMode="External"/><Relationship Id="rId77" Type="http://schemas.openxmlformats.org/officeDocument/2006/relationships/hyperlink" Target="http://instagram.com/diana.mua" TargetMode="External"/><Relationship Id="rId76" Type="http://schemas.openxmlformats.org/officeDocument/2006/relationships/hyperlink" Target="http://instagram.com/zhanna.mua" TargetMode="External"/><Relationship Id="rId79" Type="http://schemas.openxmlformats.org/officeDocument/2006/relationships/hyperlink" Target="http://t.me/kamilla.mua" TargetMode="External"/><Relationship Id="rId78" Type="http://schemas.openxmlformats.org/officeDocument/2006/relationships/hyperlink" Target="http://instagram.com/olga.mua" TargetMode="External"/><Relationship Id="rId71" Type="http://schemas.openxmlformats.org/officeDocument/2006/relationships/hyperlink" Target="http://t.me/nurzhan-ba" TargetMode="External"/><Relationship Id="rId70" Type="http://schemas.openxmlformats.org/officeDocument/2006/relationships/hyperlink" Target="http://drive.google.com/aidana-ba" TargetMode="External"/><Relationship Id="rId139" Type="http://schemas.openxmlformats.org/officeDocument/2006/relationships/hyperlink" Target="http://instagram.com/alina.fix" TargetMode="External"/><Relationship Id="rId138" Type="http://schemas.openxmlformats.org/officeDocument/2006/relationships/hyperlink" Target="http://behance.net/artem-fix" TargetMode="External"/><Relationship Id="rId137" Type="http://schemas.openxmlformats.org/officeDocument/2006/relationships/hyperlink" Target="http://t.me/dilnaz.fix" TargetMode="External"/><Relationship Id="rId132" Type="http://schemas.openxmlformats.org/officeDocument/2006/relationships/hyperlink" Target="http://t.me/aruzhan.fix" TargetMode="External"/><Relationship Id="rId131" Type="http://schemas.openxmlformats.org/officeDocument/2006/relationships/hyperlink" Target="http://drive.google.com/ruslan-fix" TargetMode="External"/><Relationship Id="rId130" Type="http://schemas.openxmlformats.org/officeDocument/2006/relationships/hyperlink" Target="http://instagram.com/aibek.fix" TargetMode="External"/><Relationship Id="rId136" Type="http://schemas.openxmlformats.org/officeDocument/2006/relationships/hyperlink" Target="http://instagram.com/olga.fix" TargetMode="External"/><Relationship Id="rId135" Type="http://schemas.openxmlformats.org/officeDocument/2006/relationships/hyperlink" Target="http://t.me/ermek.fix" TargetMode="External"/><Relationship Id="rId134" Type="http://schemas.openxmlformats.org/officeDocument/2006/relationships/hyperlink" Target="http://t.me/sania.fix" TargetMode="External"/><Relationship Id="rId133" Type="http://schemas.openxmlformats.org/officeDocument/2006/relationships/hyperlink" Target="http://instagram.com/sergey.fix" TargetMode="External"/><Relationship Id="rId62" Type="http://schemas.openxmlformats.org/officeDocument/2006/relationships/hyperlink" Target="http://github.com/ermek-da" TargetMode="External"/><Relationship Id="rId61" Type="http://schemas.openxmlformats.org/officeDocument/2006/relationships/hyperlink" Target="http://github.com/sania-da" TargetMode="External"/><Relationship Id="rId64" Type="http://schemas.openxmlformats.org/officeDocument/2006/relationships/hyperlink" Target="http://github.com/timur-da" TargetMode="External"/><Relationship Id="rId63" Type="http://schemas.openxmlformats.org/officeDocument/2006/relationships/hyperlink" Target="http://github.com/olga-da" TargetMode="External"/><Relationship Id="rId66" Type="http://schemas.openxmlformats.org/officeDocument/2006/relationships/hyperlink" Target="http://github.com/arman-da" TargetMode="External"/><Relationship Id="rId172" Type="http://schemas.openxmlformats.org/officeDocument/2006/relationships/hyperlink" Target="http://drive.google.com/ruslan-realty" TargetMode="External"/><Relationship Id="rId65" Type="http://schemas.openxmlformats.org/officeDocument/2006/relationships/hyperlink" Target="http://github.com/dilnaz-da" TargetMode="External"/><Relationship Id="rId171" Type="http://schemas.openxmlformats.org/officeDocument/2006/relationships/hyperlink" Target="http://instagram.com/zhanna.realty" TargetMode="External"/><Relationship Id="rId68" Type="http://schemas.openxmlformats.org/officeDocument/2006/relationships/hyperlink" Target="http://behance.net/meruert-ba" TargetMode="External"/><Relationship Id="rId170" Type="http://schemas.openxmlformats.org/officeDocument/2006/relationships/hyperlink" Target="http://drive.google.com/alina-nurse" TargetMode="External"/><Relationship Id="rId67" Type="http://schemas.openxmlformats.org/officeDocument/2006/relationships/hyperlink" Target="http://drive.google.com/aruzhan-ba" TargetMode="External"/><Relationship Id="rId60" Type="http://schemas.openxmlformats.org/officeDocument/2006/relationships/hyperlink" Target="http://github.com/denis-da" TargetMode="External"/><Relationship Id="rId165" Type="http://schemas.openxmlformats.org/officeDocument/2006/relationships/hyperlink" Target="http://drive.google.com/aigerim-nurse" TargetMode="External"/><Relationship Id="rId69" Type="http://schemas.openxmlformats.org/officeDocument/2006/relationships/hyperlink" Target="http://t.me/ermek-ba" TargetMode="External"/><Relationship Id="rId164" Type="http://schemas.openxmlformats.org/officeDocument/2006/relationships/hyperlink" Target="http://drive.google.com/alina-nanny" TargetMode="External"/><Relationship Id="rId163" Type="http://schemas.openxmlformats.org/officeDocument/2006/relationships/hyperlink" Target="http://t.me/dilnaz-nanny" TargetMode="External"/><Relationship Id="rId162" Type="http://schemas.openxmlformats.org/officeDocument/2006/relationships/hyperlink" Target="http://drive.google.com/nurzhan-nanny" TargetMode="External"/><Relationship Id="rId169" Type="http://schemas.openxmlformats.org/officeDocument/2006/relationships/hyperlink" Target="http://t.me/dilnaz-nurse" TargetMode="External"/><Relationship Id="rId168" Type="http://schemas.openxmlformats.org/officeDocument/2006/relationships/hyperlink" Target="http://t.me/ermek-nurse" TargetMode="External"/><Relationship Id="rId167" Type="http://schemas.openxmlformats.org/officeDocument/2006/relationships/hyperlink" Target="http://drive.google.com/nurzhan-nurse" TargetMode="External"/><Relationship Id="rId166" Type="http://schemas.openxmlformats.org/officeDocument/2006/relationships/hyperlink" Target="http://t.me/salt-nurse" TargetMode="External"/><Relationship Id="rId51" Type="http://schemas.openxmlformats.org/officeDocument/2006/relationships/hyperlink" Target="http://github.com/arman-py" TargetMode="External"/><Relationship Id="rId50" Type="http://schemas.openxmlformats.org/officeDocument/2006/relationships/hyperlink" Target="http://github.com/nurzhan-py" TargetMode="External"/><Relationship Id="rId53" Type="http://schemas.openxmlformats.org/officeDocument/2006/relationships/hyperlink" Target="http://drive.google.com/aruzhan-qa" TargetMode="External"/><Relationship Id="rId52" Type="http://schemas.openxmlformats.org/officeDocument/2006/relationships/hyperlink" Target="http://t.me/nurzhan-qa" TargetMode="External"/><Relationship Id="rId55" Type="http://schemas.openxmlformats.org/officeDocument/2006/relationships/hyperlink" Target="http://t.me/aidana-qa" TargetMode="External"/><Relationship Id="rId161" Type="http://schemas.openxmlformats.org/officeDocument/2006/relationships/hyperlink" Target="http://t.me/diana-nanny" TargetMode="External"/><Relationship Id="rId54" Type="http://schemas.openxmlformats.org/officeDocument/2006/relationships/hyperlink" Target="http://t.me/ermek-qa" TargetMode="External"/><Relationship Id="rId160" Type="http://schemas.openxmlformats.org/officeDocument/2006/relationships/hyperlink" Target="http://t.me/aruzhan.nanny" TargetMode="External"/><Relationship Id="rId57" Type="http://schemas.openxmlformats.org/officeDocument/2006/relationships/hyperlink" Target="http://github.com/alina-da" TargetMode="External"/><Relationship Id="rId56" Type="http://schemas.openxmlformats.org/officeDocument/2006/relationships/hyperlink" Target="http://drive.google.com/talgat-qa" TargetMode="External"/><Relationship Id="rId159" Type="http://schemas.openxmlformats.org/officeDocument/2006/relationships/hyperlink" Target="http://instagram.com/aidana.nanny" TargetMode="External"/><Relationship Id="rId59" Type="http://schemas.openxmlformats.org/officeDocument/2006/relationships/hyperlink" Target="http://github.com/aisha-da" TargetMode="External"/><Relationship Id="rId154" Type="http://schemas.openxmlformats.org/officeDocument/2006/relationships/hyperlink" Target="http://behance.net/sergey-guide" TargetMode="External"/><Relationship Id="rId58" Type="http://schemas.openxmlformats.org/officeDocument/2006/relationships/hyperlink" Target="http://github.com/nurlan-da" TargetMode="External"/><Relationship Id="rId153" Type="http://schemas.openxmlformats.org/officeDocument/2006/relationships/hyperlink" Target="http://t.me/aruzhan.guide" TargetMode="External"/><Relationship Id="rId152" Type="http://schemas.openxmlformats.org/officeDocument/2006/relationships/hyperlink" Target="http://instagram.com/aibek.guide" TargetMode="External"/><Relationship Id="rId151" Type="http://schemas.openxmlformats.org/officeDocument/2006/relationships/hyperlink" Target="http://drive.google.com/alina-tr" TargetMode="External"/><Relationship Id="rId158" Type="http://schemas.openxmlformats.org/officeDocument/2006/relationships/hyperlink" Target="http://drive.google.com/alina-guide" TargetMode="External"/><Relationship Id="rId157" Type="http://schemas.openxmlformats.org/officeDocument/2006/relationships/hyperlink" Target="http://t.me/dilnaz.guide" TargetMode="External"/><Relationship Id="rId156" Type="http://schemas.openxmlformats.org/officeDocument/2006/relationships/hyperlink" Target="http://t.me/ermek.guide" TargetMode="External"/><Relationship Id="rId155" Type="http://schemas.openxmlformats.org/officeDocument/2006/relationships/hyperlink" Target="http://drive.google.com/nurzhan-guid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BC1DE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8.63"/>
    <col customWidth="1" min="3" max="3" width="28.13"/>
    <col customWidth="1" min="4" max="4" width="13.75"/>
    <col customWidth="1" min="5" max="5" width="13.38"/>
    <col customWidth="1" min="10" max="10" width="13.25"/>
    <col customWidth="1" min="11" max="11" width="16.38"/>
    <col customWidth="1" min="18" max="18" width="15.0"/>
    <col customWidth="1" min="19" max="19" width="15.75"/>
    <col customWidth="1" min="22" max="22" width="24.88"/>
    <col customWidth="1" min="26" max="26" width="15.75"/>
    <col customWidth="1" min="27" max="27" width="37.38"/>
    <col customWidth="1" min="28" max="28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/>
    </row>
    <row r="2">
      <c r="A2" s="4" t="str">
        <f t="shared" ref="A2:A177" si="1">TEXT(ROW(A1),"000")
</f>
        <v>001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>
        <v>2105000.0</v>
      </c>
      <c r="N2" s="5" t="s">
        <v>39</v>
      </c>
      <c r="O2" s="5" t="s">
        <v>40</v>
      </c>
      <c r="P2" s="5" t="s">
        <v>41</v>
      </c>
      <c r="Q2" s="5" t="s">
        <v>42</v>
      </c>
      <c r="R2" s="5" t="s">
        <v>43</v>
      </c>
      <c r="S2" s="5" t="s">
        <v>44</v>
      </c>
      <c r="T2" s="5" t="s">
        <v>45</v>
      </c>
      <c r="U2" s="5" t="s">
        <v>40</v>
      </c>
      <c r="V2" s="5" t="s">
        <v>46</v>
      </c>
      <c r="W2" s="5" t="s">
        <v>47</v>
      </c>
      <c r="X2" s="5" t="s">
        <v>48</v>
      </c>
      <c r="Y2" s="5" t="s">
        <v>49</v>
      </c>
      <c r="Z2" s="5" t="s">
        <v>50</v>
      </c>
      <c r="AA2" s="5" t="s">
        <v>51</v>
      </c>
      <c r="AB2" s="5" t="s">
        <v>52</v>
      </c>
      <c r="AC2" s="6"/>
    </row>
    <row r="3">
      <c r="A3" s="4" t="str">
        <f t="shared" si="1"/>
        <v>002</v>
      </c>
      <c r="B3" s="7" t="s">
        <v>53</v>
      </c>
      <c r="C3" s="7" t="s">
        <v>54</v>
      </c>
      <c r="D3" s="7" t="s">
        <v>30</v>
      </c>
      <c r="E3" s="7" t="s">
        <v>31</v>
      </c>
      <c r="F3" s="7" t="s">
        <v>55</v>
      </c>
      <c r="G3" s="7" t="s">
        <v>33</v>
      </c>
      <c r="H3" s="7" t="s">
        <v>34</v>
      </c>
      <c r="I3" s="7" t="s">
        <v>56</v>
      </c>
      <c r="J3" s="7" t="s">
        <v>36</v>
      </c>
      <c r="K3" s="7" t="s">
        <v>37</v>
      </c>
      <c r="L3" s="7" t="s">
        <v>38</v>
      </c>
      <c r="M3" s="7">
        <v>1608000.0</v>
      </c>
      <c r="N3" s="7" t="s">
        <v>39</v>
      </c>
      <c r="O3" s="7" t="s">
        <v>40</v>
      </c>
      <c r="P3" s="7" t="s">
        <v>41</v>
      </c>
      <c r="Q3" s="7" t="s">
        <v>42</v>
      </c>
      <c r="R3" s="7" t="s">
        <v>43</v>
      </c>
      <c r="S3" s="7" t="s">
        <v>57</v>
      </c>
      <c r="T3" s="7" t="s">
        <v>45</v>
      </c>
      <c r="U3" s="7" t="s">
        <v>58</v>
      </c>
      <c r="V3" s="7" t="s">
        <v>46</v>
      </c>
      <c r="W3" s="7" t="s">
        <v>47</v>
      </c>
      <c r="X3" s="7" t="s">
        <v>48</v>
      </c>
      <c r="Y3" s="7" t="s">
        <v>59</v>
      </c>
      <c r="Z3" s="7" t="s">
        <v>60</v>
      </c>
      <c r="AA3" s="7" t="s">
        <v>61</v>
      </c>
      <c r="AB3" s="7" t="s">
        <v>62</v>
      </c>
      <c r="AC3" s="6"/>
    </row>
    <row r="4">
      <c r="A4" s="4" t="str">
        <f t="shared" si="1"/>
        <v>003</v>
      </c>
      <c r="B4" s="7" t="s">
        <v>63</v>
      </c>
      <c r="C4" s="7" t="s">
        <v>64</v>
      </c>
      <c r="D4" s="7" t="s">
        <v>30</v>
      </c>
      <c r="E4" s="7" t="s">
        <v>31</v>
      </c>
      <c r="F4" s="7" t="s">
        <v>55</v>
      </c>
      <c r="G4" s="7" t="s">
        <v>33</v>
      </c>
      <c r="H4" s="7" t="s">
        <v>65</v>
      </c>
      <c r="I4" s="7" t="s">
        <v>66</v>
      </c>
      <c r="J4" s="7" t="s">
        <v>67</v>
      </c>
      <c r="K4" s="7" t="s">
        <v>37</v>
      </c>
      <c r="L4" s="7" t="s">
        <v>68</v>
      </c>
      <c r="M4" s="7">
        <v>2067000.0</v>
      </c>
      <c r="N4" s="7" t="s">
        <v>39</v>
      </c>
      <c r="O4" s="7" t="s">
        <v>58</v>
      </c>
      <c r="P4" s="7" t="s">
        <v>69</v>
      </c>
      <c r="Q4" s="7" t="s">
        <v>42</v>
      </c>
      <c r="R4" s="7" t="s">
        <v>70</v>
      </c>
      <c r="S4" s="7" t="s">
        <v>71</v>
      </c>
      <c r="T4" s="7" t="s">
        <v>45</v>
      </c>
      <c r="U4" s="7" t="s">
        <v>58</v>
      </c>
      <c r="V4" s="7" t="s">
        <v>46</v>
      </c>
      <c r="W4" s="7" t="s">
        <v>47</v>
      </c>
      <c r="X4" s="7" t="s">
        <v>48</v>
      </c>
      <c r="Y4" s="7" t="s">
        <v>59</v>
      </c>
      <c r="Z4" s="7" t="s">
        <v>60</v>
      </c>
      <c r="AA4" s="7" t="s">
        <v>61</v>
      </c>
      <c r="AB4" s="7" t="s">
        <v>62</v>
      </c>
      <c r="AC4" s="6"/>
    </row>
    <row r="5">
      <c r="A5" s="4" t="str">
        <f t="shared" si="1"/>
        <v>004</v>
      </c>
      <c r="B5" s="7" t="s">
        <v>72</v>
      </c>
      <c r="C5" s="7" t="s">
        <v>73</v>
      </c>
      <c r="D5" s="7" t="s">
        <v>30</v>
      </c>
      <c r="E5" s="7" t="s">
        <v>31</v>
      </c>
      <c r="F5" s="7" t="s">
        <v>55</v>
      </c>
      <c r="G5" s="7" t="s">
        <v>74</v>
      </c>
      <c r="H5" s="7" t="s">
        <v>65</v>
      </c>
      <c r="I5" s="7" t="s">
        <v>75</v>
      </c>
      <c r="J5" s="7" t="s">
        <v>67</v>
      </c>
      <c r="K5" s="7" t="s">
        <v>37</v>
      </c>
      <c r="L5" s="7" t="s">
        <v>38</v>
      </c>
      <c r="M5" s="7">
        <v>1172000.0</v>
      </c>
      <c r="N5" s="7" t="s">
        <v>39</v>
      </c>
      <c r="O5" s="7" t="s">
        <v>58</v>
      </c>
      <c r="P5" s="7" t="s">
        <v>69</v>
      </c>
      <c r="Q5" s="7" t="s">
        <v>42</v>
      </c>
      <c r="R5" s="7" t="s">
        <v>76</v>
      </c>
      <c r="S5" s="7" t="s">
        <v>77</v>
      </c>
      <c r="T5" s="7" t="s">
        <v>78</v>
      </c>
      <c r="U5" s="7" t="s">
        <v>58</v>
      </c>
      <c r="V5" s="7" t="s">
        <v>46</v>
      </c>
      <c r="W5" s="7" t="s">
        <v>47</v>
      </c>
      <c r="X5" s="7" t="s">
        <v>48</v>
      </c>
      <c r="Y5" s="7" t="s">
        <v>59</v>
      </c>
      <c r="Z5" s="7" t="s">
        <v>50</v>
      </c>
      <c r="AA5" s="7" t="s">
        <v>61</v>
      </c>
      <c r="AB5" s="7" t="s">
        <v>79</v>
      </c>
      <c r="AC5" s="6"/>
    </row>
    <row r="6">
      <c r="A6" s="4" t="str">
        <f t="shared" si="1"/>
        <v>005</v>
      </c>
      <c r="B6" s="7" t="s">
        <v>80</v>
      </c>
      <c r="C6" s="7" t="s">
        <v>81</v>
      </c>
      <c r="D6" s="7" t="s">
        <v>30</v>
      </c>
      <c r="E6" s="7" t="s">
        <v>31</v>
      </c>
      <c r="F6" s="7" t="s">
        <v>55</v>
      </c>
      <c r="G6" s="7" t="s">
        <v>82</v>
      </c>
      <c r="H6" s="7" t="s">
        <v>65</v>
      </c>
      <c r="I6" s="7" t="s">
        <v>83</v>
      </c>
      <c r="J6" s="7" t="s">
        <v>36</v>
      </c>
      <c r="K6" s="7" t="s">
        <v>37</v>
      </c>
      <c r="L6" s="7" t="s">
        <v>68</v>
      </c>
      <c r="M6" s="7">
        <v>754000.0</v>
      </c>
      <c r="N6" s="7" t="s">
        <v>39</v>
      </c>
      <c r="O6" s="7" t="s">
        <v>58</v>
      </c>
      <c r="P6" s="7" t="s">
        <v>84</v>
      </c>
      <c r="Q6" s="7" t="s">
        <v>42</v>
      </c>
      <c r="R6" s="7" t="s">
        <v>70</v>
      </c>
      <c r="S6" s="7" t="s">
        <v>85</v>
      </c>
      <c r="T6" s="7" t="s">
        <v>45</v>
      </c>
      <c r="U6" s="7" t="s">
        <v>40</v>
      </c>
      <c r="V6" s="7" t="s">
        <v>46</v>
      </c>
      <c r="W6" s="7" t="s">
        <v>47</v>
      </c>
      <c r="X6" s="7" t="s">
        <v>48</v>
      </c>
      <c r="Y6" s="7" t="s">
        <v>86</v>
      </c>
      <c r="Z6" s="7" t="s">
        <v>87</v>
      </c>
      <c r="AA6" s="7" t="s">
        <v>88</v>
      </c>
      <c r="AB6" s="7" t="s">
        <v>62</v>
      </c>
      <c r="AC6" s="6"/>
    </row>
    <row r="7">
      <c r="A7" s="4" t="str">
        <f t="shared" si="1"/>
        <v>006</v>
      </c>
      <c r="B7" s="7" t="s">
        <v>89</v>
      </c>
      <c r="C7" s="7" t="s">
        <v>90</v>
      </c>
      <c r="D7" s="7" t="s">
        <v>30</v>
      </c>
      <c r="E7" s="7" t="s">
        <v>31</v>
      </c>
      <c r="F7" s="7" t="s">
        <v>32</v>
      </c>
      <c r="G7" s="7" t="s">
        <v>82</v>
      </c>
      <c r="H7" s="7" t="s">
        <v>65</v>
      </c>
      <c r="I7" s="7" t="s">
        <v>83</v>
      </c>
      <c r="J7" s="7" t="s">
        <v>36</v>
      </c>
      <c r="K7" s="7" t="s">
        <v>91</v>
      </c>
      <c r="L7" s="7" t="s">
        <v>68</v>
      </c>
      <c r="M7" s="7">
        <v>1912000.0</v>
      </c>
      <c r="N7" s="7" t="s">
        <v>39</v>
      </c>
      <c r="O7" s="7" t="s">
        <v>58</v>
      </c>
      <c r="P7" s="7" t="s">
        <v>41</v>
      </c>
      <c r="Q7" s="7" t="s">
        <v>42</v>
      </c>
      <c r="R7" s="7" t="s">
        <v>76</v>
      </c>
      <c r="S7" s="7" t="s">
        <v>92</v>
      </c>
      <c r="T7" s="7" t="s">
        <v>45</v>
      </c>
      <c r="U7" s="7" t="s">
        <v>40</v>
      </c>
      <c r="V7" s="7" t="s">
        <v>46</v>
      </c>
      <c r="W7" s="7" t="s">
        <v>47</v>
      </c>
      <c r="X7" s="7" t="s">
        <v>48</v>
      </c>
      <c r="Y7" s="7" t="s">
        <v>86</v>
      </c>
      <c r="Z7" s="7" t="s">
        <v>50</v>
      </c>
      <c r="AA7" s="7" t="s">
        <v>61</v>
      </c>
      <c r="AB7" s="7" t="s">
        <v>79</v>
      </c>
      <c r="AC7" s="6"/>
    </row>
    <row r="8">
      <c r="A8" s="4" t="str">
        <f t="shared" si="1"/>
        <v>007</v>
      </c>
      <c r="B8" s="7" t="s">
        <v>93</v>
      </c>
      <c r="C8" s="7" t="s">
        <v>94</v>
      </c>
      <c r="D8" s="7" t="s">
        <v>30</v>
      </c>
      <c r="E8" s="7" t="s">
        <v>31</v>
      </c>
      <c r="F8" s="7" t="s">
        <v>55</v>
      </c>
      <c r="G8" s="7" t="s">
        <v>33</v>
      </c>
      <c r="H8" s="7" t="s">
        <v>34</v>
      </c>
      <c r="I8" s="7" t="s">
        <v>83</v>
      </c>
      <c r="J8" s="7" t="s">
        <v>67</v>
      </c>
      <c r="K8" s="7" t="s">
        <v>91</v>
      </c>
      <c r="L8" s="7" t="s">
        <v>38</v>
      </c>
      <c r="M8" s="7">
        <v>1704000.0</v>
      </c>
      <c r="N8" s="7" t="s">
        <v>39</v>
      </c>
      <c r="O8" s="7" t="s">
        <v>40</v>
      </c>
      <c r="P8" s="7" t="s">
        <v>69</v>
      </c>
      <c r="Q8" s="7" t="s">
        <v>42</v>
      </c>
      <c r="R8" s="7" t="s">
        <v>76</v>
      </c>
      <c r="S8" s="7" t="s">
        <v>77</v>
      </c>
      <c r="T8" s="7" t="s">
        <v>78</v>
      </c>
      <c r="U8" s="7" t="s">
        <v>40</v>
      </c>
      <c r="V8" s="7" t="s">
        <v>46</v>
      </c>
      <c r="W8" s="7" t="s">
        <v>47</v>
      </c>
      <c r="X8" s="7" t="s">
        <v>48</v>
      </c>
      <c r="Y8" s="7" t="s">
        <v>86</v>
      </c>
      <c r="Z8" s="7" t="s">
        <v>95</v>
      </c>
      <c r="AA8" s="7" t="s">
        <v>61</v>
      </c>
      <c r="AB8" s="7" t="s">
        <v>52</v>
      </c>
      <c r="AC8" s="6"/>
    </row>
    <row r="9">
      <c r="A9" s="4" t="str">
        <f t="shared" si="1"/>
        <v>008</v>
      </c>
      <c r="B9" s="7" t="s">
        <v>96</v>
      </c>
      <c r="C9" s="7" t="s">
        <v>97</v>
      </c>
      <c r="D9" s="7" t="s">
        <v>30</v>
      </c>
      <c r="E9" s="7" t="s">
        <v>31</v>
      </c>
      <c r="F9" s="7" t="s">
        <v>98</v>
      </c>
      <c r="G9" s="7" t="s">
        <v>33</v>
      </c>
      <c r="H9" s="7" t="s">
        <v>65</v>
      </c>
      <c r="I9" s="7" t="s">
        <v>56</v>
      </c>
      <c r="J9" s="7" t="s">
        <v>36</v>
      </c>
      <c r="K9" s="7" t="s">
        <v>37</v>
      </c>
      <c r="L9" s="7" t="s">
        <v>38</v>
      </c>
      <c r="M9" s="7">
        <v>1275000.0</v>
      </c>
      <c r="N9" s="7" t="s">
        <v>39</v>
      </c>
      <c r="O9" s="7" t="s">
        <v>40</v>
      </c>
      <c r="P9" s="7" t="s">
        <v>84</v>
      </c>
      <c r="Q9" s="7" t="s">
        <v>42</v>
      </c>
      <c r="R9" s="7" t="s">
        <v>43</v>
      </c>
      <c r="S9" s="7" t="s">
        <v>99</v>
      </c>
      <c r="T9" s="7" t="s">
        <v>45</v>
      </c>
      <c r="U9" s="7" t="s">
        <v>40</v>
      </c>
      <c r="V9" s="7" t="s">
        <v>46</v>
      </c>
      <c r="W9" s="7" t="s">
        <v>47</v>
      </c>
      <c r="X9" s="7" t="s">
        <v>48</v>
      </c>
      <c r="Y9" s="7" t="s">
        <v>49</v>
      </c>
      <c r="Z9" s="7" t="s">
        <v>87</v>
      </c>
      <c r="AA9" s="7" t="s">
        <v>61</v>
      </c>
      <c r="AB9" s="7" t="s">
        <v>52</v>
      </c>
      <c r="AC9" s="6"/>
    </row>
    <row r="10">
      <c r="A10" s="4" t="str">
        <f t="shared" si="1"/>
        <v>009</v>
      </c>
      <c r="B10" s="7" t="s">
        <v>100</v>
      </c>
      <c r="C10" s="7" t="s">
        <v>101</v>
      </c>
      <c r="D10" s="7" t="s">
        <v>30</v>
      </c>
      <c r="E10" s="7" t="s">
        <v>31</v>
      </c>
      <c r="F10" s="7" t="s">
        <v>32</v>
      </c>
      <c r="G10" s="7" t="s">
        <v>33</v>
      </c>
      <c r="H10" s="7" t="s">
        <v>34</v>
      </c>
      <c r="I10" s="7" t="s">
        <v>83</v>
      </c>
      <c r="J10" s="7" t="s">
        <v>36</v>
      </c>
      <c r="K10" s="7" t="s">
        <v>37</v>
      </c>
      <c r="L10" s="7" t="s">
        <v>38</v>
      </c>
      <c r="M10" s="7">
        <v>1759000.0</v>
      </c>
      <c r="N10" s="7" t="s">
        <v>39</v>
      </c>
      <c r="O10" s="7" t="s">
        <v>58</v>
      </c>
      <c r="P10" s="7" t="s">
        <v>41</v>
      </c>
      <c r="Q10" s="7" t="s">
        <v>42</v>
      </c>
      <c r="R10" s="7" t="s">
        <v>70</v>
      </c>
      <c r="S10" s="7" t="s">
        <v>44</v>
      </c>
      <c r="T10" s="7" t="s">
        <v>78</v>
      </c>
      <c r="U10" s="7" t="s">
        <v>58</v>
      </c>
      <c r="V10" s="7" t="s">
        <v>46</v>
      </c>
      <c r="W10" s="7" t="s">
        <v>47</v>
      </c>
      <c r="X10" s="7" t="s">
        <v>48</v>
      </c>
      <c r="Y10" s="7" t="s">
        <v>59</v>
      </c>
      <c r="Z10" s="7" t="s">
        <v>60</v>
      </c>
      <c r="AA10" s="7" t="s">
        <v>61</v>
      </c>
      <c r="AB10" s="7" t="s">
        <v>52</v>
      </c>
      <c r="AC10" s="6"/>
    </row>
    <row r="11">
      <c r="A11" s="4" t="str">
        <f t="shared" si="1"/>
        <v>010</v>
      </c>
      <c r="B11" s="7" t="s">
        <v>102</v>
      </c>
      <c r="C11" s="7" t="s">
        <v>103</v>
      </c>
      <c r="D11" s="7" t="s">
        <v>30</v>
      </c>
      <c r="E11" s="7" t="s">
        <v>31</v>
      </c>
      <c r="F11" s="7" t="s">
        <v>55</v>
      </c>
      <c r="G11" s="7" t="s">
        <v>74</v>
      </c>
      <c r="H11" s="7" t="s">
        <v>34</v>
      </c>
      <c r="I11" s="7" t="s">
        <v>104</v>
      </c>
      <c r="J11" s="7" t="s">
        <v>67</v>
      </c>
      <c r="K11" s="7" t="s">
        <v>91</v>
      </c>
      <c r="L11" s="7" t="s">
        <v>38</v>
      </c>
      <c r="M11" s="7">
        <v>1684000.0</v>
      </c>
      <c r="N11" s="7" t="s">
        <v>39</v>
      </c>
      <c r="O11" s="7" t="s">
        <v>105</v>
      </c>
      <c r="P11" s="7" t="s">
        <v>41</v>
      </c>
      <c r="Q11" s="7" t="s">
        <v>42</v>
      </c>
      <c r="R11" s="7" t="s">
        <v>76</v>
      </c>
      <c r="S11" s="7" t="s">
        <v>44</v>
      </c>
      <c r="T11" s="7" t="s">
        <v>45</v>
      </c>
      <c r="U11" s="7" t="s">
        <v>40</v>
      </c>
      <c r="V11" s="7" t="s">
        <v>46</v>
      </c>
      <c r="W11" s="7" t="s">
        <v>47</v>
      </c>
      <c r="X11" s="7" t="s">
        <v>48</v>
      </c>
      <c r="Y11" s="7" t="s">
        <v>49</v>
      </c>
      <c r="Z11" s="7" t="s">
        <v>95</v>
      </c>
      <c r="AA11" s="7" t="s">
        <v>61</v>
      </c>
      <c r="AB11" s="7" t="s">
        <v>79</v>
      </c>
      <c r="AC11" s="6"/>
    </row>
    <row r="12">
      <c r="A12" s="4" t="str">
        <f t="shared" si="1"/>
        <v>011</v>
      </c>
      <c r="B12" s="7" t="s">
        <v>106</v>
      </c>
      <c r="C12" s="7" t="s">
        <v>107</v>
      </c>
      <c r="D12" s="7" t="s">
        <v>30</v>
      </c>
      <c r="E12" s="7" t="s">
        <v>31</v>
      </c>
      <c r="F12" s="7" t="s">
        <v>55</v>
      </c>
      <c r="G12" s="7" t="s">
        <v>33</v>
      </c>
      <c r="H12" s="7" t="s">
        <v>34</v>
      </c>
      <c r="I12" s="7" t="s">
        <v>66</v>
      </c>
      <c r="J12" s="7" t="s">
        <v>67</v>
      </c>
      <c r="K12" s="7" t="s">
        <v>91</v>
      </c>
      <c r="L12" s="7" t="s">
        <v>38</v>
      </c>
      <c r="M12" s="7">
        <v>1535000.0</v>
      </c>
      <c r="N12" s="7" t="s">
        <v>39</v>
      </c>
      <c r="O12" s="7" t="s">
        <v>105</v>
      </c>
      <c r="P12" s="7" t="s">
        <v>41</v>
      </c>
      <c r="Q12" s="7" t="s">
        <v>42</v>
      </c>
      <c r="R12" s="7" t="s">
        <v>76</v>
      </c>
      <c r="S12" s="7" t="s">
        <v>108</v>
      </c>
      <c r="T12" s="7" t="s">
        <v>45</v>
      </c>
      <c r="U12" s="7" t="s">
        <v>40</v>
      </c>
      <c r="V12" s="7" t="s">
        <v>46</v>
      </c>
      <c r="W12" s="7" t="s">
        <v>47</v>
      </c>
      <c r="X12" s="7" t="s">
        <v>48</v>
      </c>
      <c r="Y12" s="7" t="s">
        <v>59</v>
      </c>
      <c r="Z12" s="7" t="s">
        <v>95</v>
      </c>
      <c r="AA12" s="7" t="s">
        <v>61</v>
      </c>
      <c r="AB12" s="7" t="s">
        <v>79</v>
      </c>
      <c r="AC12" s="6"/>
    </row>
    <row r="13">
      <c r="A13" s="4" t="str">
        <f t="shared" si="1"/>
        <v>012</v>
      </c>
      <c r="B13" s="7" t="s">
        <v>109</v>
      </c>
      <c r="C13" s="7" t="s">
        <v>110</v>
      </c>
      <c r="D13" s="7" t="s">
        <v>30</v>
      </c>
      <c r="E13" s="7" t="s">
        <v>31</v>
      </c>
      <c r="F13" s="7" t="s">
        <v>32</v>
      </c>
      <c r="G13" s="7" t="s">
        <v>82</v>
      </c>
      <c r="H13" s="7" t="s">
        <v>65</v>
      </c>
      <c r="I13" s="7" t="s">
        <v>83</v>
      </c>
      <c r="J13" s="7" t="s">
        <v>67</v>
      </c>
      <c r="K13" s="7" t="s">
        <v>37</v>
      </c>
      <c r="L13" s="7" t="s">
        <v>38</v>
      </c>
      <c r="M13" s="7">
        <v>1992000.0</v>
      </c>
      <c r="N13" s="7" t="s">
        <v>39</v>
      </c>
      <c r="O13" s="7" t="s">
        <v>40</v>
      </c>
      <c r="P13" s="7" t="s">
        <v>69</v>
      </c>
      <c r="Q13" s="7" t="s">
        <v>42</v>
      </c>
      <c r="R13" s="7" t="s">
        <v>43</v>
      </c>
      <c r="S13" s="7" t="s">
        <v>85</v>
      </c>
      <c r="T13" s="7" t="s">
        <v>78</v>
      </c>
      <c r="U13" s="7" t="s">
        <v>58</v>
      </c>
      <c r="V13" s="7" t="s">
        <v>46</v>
      </c>
      <c r="W13" s="7" t="s">
        <v>47</v>
      </c>
      <c r="X13" s="7" t="s">
        <v>48</v>
      </c>
      <c r="Y13" s="7" t="s">
        <v>59</v>
      </c>
      <c r="Z13" s="7" t="s">
        <v>60</v>
      </c>
      <c r="AA13" s="7" t="s">
        <v>61</v>
      </c>
      <c r="AB13" s="7" t="s">
        <v>62</v>
      </c>
      <c r="AC13" s="6"/>
    </row>
    <row r="14">
      <c r="A14" s="4" t="str">
        <f t="shared" si="1"/>
        <v>013</v>
      </c>
      <c r="B14" s="7" t="s">
        <v>111</v>
      </c>
      <c r="C14" s="7" t="s">
        <v>112</v>
      </c>
      <c r="D14" s="7" t="s">
        <v>30</v>
      </c>
      <c r="E14" s="7" t="s">
        <v>31</v>
      </c>
      <c r="F14" s="7" t="s">
        <v>32</v>
      </c>
      <c r="G14" s="7" t="s">
        <v>82</v>
      </c>
      <c r="H14" s="7" t="s">
        <v>34</v>
      </c>
      <c r="I14" s="7" t="s">
        <v>104</v>
      </c>
      <c r="J14" s="7" t="s">
        <v>67</v>
      </c>
      <c r="K14" s="7" t="s">
        <v>91</v>
      </c>
      <c r="L14" s="7" t="s">
        <v>38</v>
      </c>
      <c r="M14" s="7">
        <v>902000.0</v>
      </c>
      <c r="N14" s="7" t="s">
        <v>39</v>
      </c>
      <c r="O14" s="7" t="s">
        <v>58</v>
      </c>
      <c r="P14" s="7" t="s">
        <v>41</v>
      </c>
      <c r="Q14" s="7" t="s">
        <v>42</v>
      </c>
      <c r="R14" s="7" t="s">
        <v>43</v>
      </c>
      <c r="S14" s="7" t="s">
        <v>92</v>
      </c>
      <c r="T14" s="7" t="s">
        <v>45</v>
      </c>
      <c r="U14" s="7" t="s">
        <v>40</v>
      </c>
      <c r="V14" s="7" t="s">
        <v>46</v>
      </c>
      <c r="W14" s="7" t="s">
        <v>47</v>
      </c>
      <c r="X14" s="7" t="s">
        <v>48</v>
      </c>
      <c r="Y14" s="7" t="s">
        <v>59</v>
      </c>
      <c r="Z14" s="7" t="s">
        <v>50</v>
      </c>
      <c r="AA14" s="7" t="s">
        <v>61</v>
      </c>
      <c r="AB14" s="7" t="s">
        <v>79</v>
      </c>
      <c r="AC14" s="6"/>
    </row>
    <row r="15">
      <c r="A15" s="4" t="str">
        <f t="shared" si="1"/>
        <v>014</v>
      </c>
      <c r="B15" s="7" t="s">
        <v>113</v>
      </c>
      <c r="C15" s="7" t="s">
        <v>114</v>
      </c>
      <c r="D15" s="7" t="s">
        <v>30</v>
      </c>
      <c r="E15" s="7" t="s">
        <v>31</v>
      </c>
      <c r="F15" s="7" t="s">
        <v>98</v>
      </c>
      <c r="G15" s="7" t="s">
        <v>82</v>
      </c>
      <c r="H15" s="7" t="s">
        <v>115</v>
      </c>
      <c r="I15" s="7" t="s">
        <v>75</v>
      </c>
      <c r="J15" s="7" t="s">
        <v>36</v>
      </c>
      <c r="K15" s="7" t="s">
        <v>91</v>
      </c>
      <c r="L15" s="7" t="s">
        <v>38</v>
      </c>
      <c r="M15" s="7">
        <v>2689000.0</v>
      </c>
      <c r="N15" s="7" t="s">
        <v>39</v>
      </c>
      <c r="O15" s="7" t="s">
        <v>105</v>
      </c>
      <c r="P15" s="7" t="s">
        <v>41</v>
      </c>
      <c r="Q15" s="7" t="s">
        <v>42</v>
      </c>
      <c r="R15" s="7" t="s">
        <v>70</v>
      </c>
      <c r="S15" s="7" t="s">
        <v>116</v>
      </c>
      <c r="T15" s="7" t="s">
        <v>45</v>
      </c>
      <c r="U15" s="7" t="s">
        <v>40</v>
      </c>
      <c r="V15" s="7" t="s">
        <v>46</v>
      </c>
      <c r="W15" s="7" t="s">
        <v>47</v>
      </c>
      <c r="X15" s="7" t="s">
        <v>48</v>
      </c>
      <c r="Y15" s="7" t="s">
        <v>49</v>
      </c>
      <c r="Z15" s="7" t="s">
        <v>50</v>
      </c>
      <c r="AA15" s="7" t="s">
        <v>61</v>
      </c>
      <c r="AB15" s="7" t="s">
        <v>62</v>
      </c>
      <c r="AC15" s="6"/>
    </row>
    <row r="16">
      <c r="A16" s="4" t="str">
        <f t="shared" si="1"/>
        <v>015</v>
      </c>
      <c r="B16" s="7" t="s">
        <v>117</v>
      </c>
      <c r="C16" s="7" t="s">
        <v>118</v>
      </c>
      <c r="D16" s="7" t="s">
        <v>119</v>
      </c>
      <c r="E16" s="7" t="s">
        <v>120</v>
      </c>
      <c r="F16" s="7" t="s">
        <v>32</v>
      </c>
      <c r="G16" s="7" t="s">
        <v>82</v>
      </c>
      <c r="H16" s="7" t="s">
        <v>65</v>
      </c>
      <c r="I16" s="7" t="s">
        <v>104</v>
      </c>
      <c r="J16" s="7" t="s">
        <v>36</v>
      </c>
      <c r="K16" s="7" t="s">
        <v>121</v>
      </c>
      <c r="L16" s="7" t="s">
        <v>68</v>
      </c>
      <c r="M16" s="7">
        <v>1126000.0</v>
      </c>
      <c r="N16" s="7" t="s">
        <v>122</v>
      </c>
      <c r="O16" s="7" t="s">
        <v>105</v>
      </c>
      <c r="P16" s="7" t="s">
        <v>69</v>
      </c>
      <c r="Q16" s="7" t="s">
        <v>42</v>
      </c>
      <c r="R16" s="7" t="s">
        <v>123</v>
      </c>
      <c r="S16" s="7" t="s">
        <v>92</v>
      </c>
      <c r="T16" s="7" t="s">
        <v>124</v>
      </c>
      <c r="U16" s="7" t="s">
        <v>125</v>
      </c>
      <c r="V16" s="7" t="s">
        <v>46</v>
      </c>
      <c r="W16" s="7" t="s">
        <v>47</v>
      </c>
      <c r="X16" s="7" t="s">
        <v>48</v>
      </c>
      <c r="Y16" s="7" t="s">
        <v>59</v>
      </c>
      <c r="Z16" s="7" t="s">
        <v>126</v>
      </c>
      <c r="AA16" s="7" t="s">
        <v>127</v>
      </c>
      <c r="AB16" s="7" t="s">
        <v>62</v>
      </c>
      <c r="AC16" s="6"/>
    </row>
    <row r="17">
      <c r="A17" s="4" t="str">
        <f t="shared" si="1"/>
        <v>016</v>
      </c>
      <c r="B17" s="7" t="s">
        <v>128</v>
      </c>
      <c r="C17" s="7" t="s">
        <v>129</v>
      </c>
      <c r="D17" s="7" t="s">
        <v>119</v>
      </c>
      <c r="E17" s="7" t="s">
        <v>120</v>
      </c>
      <c r="F17" s="7" t="s">
        <v>32</v>
      </c>
      <c r="G17" s="7" t="s">
        <v>33</v>
      </c>
      <c r="H17" s="7" t="s">
        <v>34</v>
      </c>
      <c r="I17" s="7" t="s">
        <v>104</v>
      </c>
      <c r="J17" s="7" t="s">
        <v>67</v>
      </c>
      <c r="K17" s="7" t="s">
        <v>121</v>
      </c>
      <c r="L17" s="7" t="s">
        <v>38</v>
      </c>
      <c r="M17" s="7">
        <v>1297000.0</v>
      </c>
      <c r="N17" s="7" t="s">
        <v>122</v>
      </c>
      <c r="O17" s="7" t="s">
        <v>40</v>
      </c>
      <c r="P17" s="7" t="s">
        <v>41</v>
      </c>
      <c r="Q17" s="7" t="s">
        <v>42</v>
      </c>
      <c r="R17" s="7" t="s">
        <v>130</v>
      </c>
      <c r="S17" s="7" t="s">
        <v>44</v>
      </c>
      <c r="T17" s="7" t="s">
        <v>124</v>
      </c>
      <c r="U17" s="7" t="s">
        <v>58</v>
      </c>
      <c r="V17" s="7" t="s">
        <v>131</v>
      </c>
      <c r="W17" s="7" t="s">
        <v>47</v>
      </c>
      <c r="X17" s="7" t="s">
        <v>48</v>
      </c>
      <c r="Y17" s="7" t="s">
        <v>49</v>
      </c>
      <c r="Z17" s="7" t="s">
        <v>95</v>
      </c>
      <c r="AA17" s="7" t="s">
        <v>132</v>
      </c>
      <c r="AB17" s="7" t="s">
        <v>133</v>
      </c>
      <c r="AC17" s="6"/>
    </row>
    <row r="18">
      <c r="A18" s="4" t="str">
        <f t="shared" si="1"/>
        <v>017</v>
      </c>
      <c r="B18" s="7" t="s">
        <v>134</v>
      </c>
      <c r="C18" s="7" t="s">
        <v>135</v>
      </c>
      <c r="D18" s="7" t="s">
        <v>119</v>
      </c>
      <c r="E18" s="7" t="s">
        <v>120</v>
      </c>
      <c r="F18" s="7" t="s">
        <v>55</v>
      </c>
      <c r="G18" s="7" t="s">
        <v>82</v>
      </c>
      <c r="H18" s="7" t="s">
        <v>65</v>
      </c>
      <c r="I18" s="7" t="s">
        <v>104</v>
      </c>
      <c r="J18" s="7" t="s">
        <v>36</v>
      </c>
      <c r="K18" s="7" t="s">
        <v>91</v>
      </c>
      <c r="L18" s="7" t="s">
        <v>38</v>
      </c>
      <c r="M18" s="7">
        <v>1122000.0</v>
      </c>
      <c r="N18" s="7" t="s">
        <v>122</v>
      </c>
      <c r="O18" s="7" t="s">
        <v>40</v>
      </c>
      <c r="P18" s="7" t="s">
        <v>41</v>
      </c>
      <c r="Q18" s="7" t="s">
        <v>42</v>
      </c>
      <c r="R18" s="7" t="s">
        <v>136</v>
      </c>
      <c r="S18" s="7" t="s">
        <v>92</v>
      </c>
      <c r="T18" s="7" t="s">
        <v>124</v>
      </c>
      <c r="U18" s="7" t="s">
        <v>58</v>
      </c>
      <c r="V18" s="7" t="s">
        <v>46</v>
      </c>
      <c r="W18" s="7" t="s">
        <v>47</v>
      </c>
      <c r="X18" s="7" t="s">
        <v>48</v>
      </c>
      <c r="Y18" s="7" t="s">
        <v>59</v>
      </c>
      <c r="Z18" s="7" t="s">
        <v>137</v>
      </c>
      <c r="AA18" s="7" t="s">
        <v>127</v>
      </c>
      <c r="AB18" s="7" t="s">
        <v>62</v>
      </c>
      <c r="AC18" s="6"/>
    </row>
    <row r="19">
      <c r="A19" s="4" t="str">
        <f t="shared" si="1"/>
        <v>018</v>
      </c>
      <c r="B19" s="7" t="s">
        <v>138</v>
      </c>
      <c r="C19" s="7" t="s">
        <v>139</v>
      </c>
      <c r="D19" s="7" t="s">
        <v>119</v>
      </c>
      <c r="E19" s="7" t="s">
        <v>120</v>
      </c>
      <c r="F19" s="7" t="s">
        <v>55</v>
      </c>
      <c r="G19" s="7" t="s">
        <v>82</v>
      </c>
      <c r="H19" s="7" t="s">
        <v>65</v>
      </c>
      <c r="I19" s="7" t="s">
        <v>104</v>
      </c>
      <c r="J19" s="7" t="s">
        <v>67</v>
      </c>
      <c r="K19" s="7" t="s">
        <v>121</v>
      </c>
      <c r="L19" s="7" t="s">
        <v>38</v>
      </c>
      <c r="M19" s="7">
        <v>443000.0</v>
      </c>
      <c r="N19" s="7" t="s">
        <v>122</v>
      </c>
      <c r="O19" s="7" t="s">
        <v>40</v>
      </c>
      <c r="P19" s="7" t="s">
        <v>69</v>
      </c>
      <c r="Q19" s="7" t="s">
        <v>42</v>
      </c>
      <c r="R19" s="7" t="s">
        <v>136</v>
      </c>
      <c r="S19" s="7" t="s">
        <v>92</v>
      </c>
      <c r="T19" s="7" t="s">
        <v>124</v>
      </c>
      <c r="U19" s="7" t="s">
        <v>58</v>
      </c>
      <c r="V19" s="7" t="s">
        <v>46</v>
      </c>
      <c r="W19" s="7" t="s">
        <v>47</v>
      </c>
      <c r="X19" s="7" t="s">
        <v>48</v>
      </c>
      <c r="Y19" s="7" t="s">
        <v>49</v>
      </c>
      <c r="Z19" s="7" t="s">
        <v>137</v>
      </c>
      <c r="AA19" s="7" t="s">
        <v>127</v>
      </c>
      <c r="AB19" s="7" t="s">
        <v>133</v>
      </c>
      <c r="AC19" s="6"/>
    </row>
    <row r="20">
      <c r="A20" s="4" t="str">
        <f t="shared" si="1"/>
        <v>019</v>
      </c>
      <c r="B20" s="7" t="s">
        <v>140</v>
      </c>
      <c r="C20" s="7" t="s">
        <v>141</v>
      </c>
      <c r="D20" s="7" t="s">
        <v>119</v>
      </c>
      <c r="E20" s="7" t="s">
        <v>120</v>
      </c>
      <c r="F20" s="7" t="s">
        <v>98</v>
      </c>
      <c r="G20" s="7" t="s">
        <v>33</v>
      </c>
      <c r="H20" s="7" t="s">
        <v>65</v>
      </c>
      <c r="I20" s="7" t="s">
        <v>104</v>
      </c>
      <c r="J20" s="7" t="s">
        <v>67</v>
      </c>
      <c r="K20" s="7" t="s">
        <v>91</v>
      </c>
      <c r="L20" s="7" t="s">
        <v>142</v>
      </c>
      <c r="M20" s="7">
        <v>1207000.0</v>
      </c>
      <c r="N20" s="7" t="s">
        <v>122</v>
      </c>
      <c r="O20" s="7" t="s">
        <v>40</v>
      </c>
      <c r="P20" s="7" t="s">
        <v>41</v>
      </c>
      <c r="Q20" s="7" t="s">
        <v>42</v>
      </c>
      <c r="R20" s="7" t="s">
        <v>136</v>
      </c>
      <c r="S20" s="7" t="s">
        <v>143</v>
      </c>
      <c r="T20" s="7" t="s">
        <v>124</v>
      </c>
      <c r="U20" s="7" t="s">
        <v>125</v>
      </c>
      <c r="V20" s="7" t="s">
        <v>46</v>
      </c>
      <c r="W20" s="7" t="s">
        <v>47</v>
      </c>
      <c r="X20" s="7" t="s">
        <v>48</v>
      </c>
      <c r="Y20" s="7" t="s">
        <v>59</v>
      </c>
      <c r="Z20" s="7" t="s">
        <v>126</v>
      </c>
      <c r="AA20" s="7" t="s">
        <v>127</v>
      </c>
      <c r="AB20" s="7" t="s">
        <v>144</v>
      </c>
      <c r="AC20" s="6"/>
    </row>
    <row r="21">
      <c r="A21" s="4" t="str">
        <f t="shared" si="1"/>
        <v>020</v>
      </c>
      <c r="B21" s="7" t="s">
        <v>145</v>
      </c>
      <c r="C21" s="7" t="s">
        <v>146</v>
      </c>
      <c r="D21" s="7" t="s">
        <v>119</v>
      </c>
      <c r="E21" s="7" t="s">
        <v>120</v>
      </c>
      <c r="F21" s="7" t="s">
        <v>55</v>
      </c>
      <c r="G21" s="7" t="s">
        <v>33</v>
      </c>
      <c r="H21" s="7" t="s">
        <v>34</v>
      </c>
      <c r="I21" s="7" t="s">
        <v>75</v>
      </c>
      <c r="J21" s="7" t="s">
        <v>67</v>
      </c>
      <c r="K21" s="7" t="s">
        <v>121</v>
      </c>
      <c r="L21" s="7" t="s">
        <v>38</v>
      </c>
      <c r="M21" s="7">
        <v>737000.0</v>
      </c>
      <c r="N21" s="7" t="s">
        <v>122</v>
      </c>
      <c r="O21" s="7" t="s">
        <v>105</v>
      </c>
      <c r="P21" s="7" t="s">
        <v>69</v>
      </c>
      <c r="Q21" s="7" t="s">
        <v>42</v>
      </c>
      <c r="R21" s="7" t="s">
        <v>136</v>
      </c>
      <c r="S21" s="7" t="s">
        <v>147</v>
      </c>
      <c r="T21" s="7" t="s">
        <v>124</v>
      </c>
      <c r="U21" s="7" t="s">
        <v>58</v>
      </c>
      <c r="V21" s="7" t="s">
        <v>46</v>
      </c>
      <c r="W21" s="7" t="s">
        <v>47</v>
      </c>
      <c r="X21" s="7" t="s">
        <v>48</v>
      </c>
      <c r="Y21" s="7" t="s">
        <v>86</v>
      </c>
      <c r="Z21" s="7" t="s">
        <v>126</v>
      </c>
      <c r="AA21" s="7" t="s">
        <v>127</v>
      </c>
      <c r="AB21" s="7" t="s">
        <v>62</v>
      </c>
      <c r="AC21" s="6"/>
    </row>
    <row r="22">
      <c r="A22" s="4" t="str">
        <f t="shared" si="1"/>
        <v>021</v>
      </c>
      <c r="B22" s="7" t="s">
        <v>148</v>
      </c>
      <c r="C22" s="7" t="s">
        <v>149</v>
      </c>
      <c r="D22" s="7" t="s">
        <v>119</v>
      </c>
      <c r="E22" s="7" t="s">
        <v>120</v>
      </c>
      <c r="F22" s="7" t="s">
        <v>55</v>
      </c>
      <c r="G22" s="7" t="s">
        <v>82</v>
      </c>
      <c r="H22" s="7" t="s">
        <v>34</v>
      </c>
      <c r="I22" s="7" t="s">
        <v>104</v>
      </c>
      <c r="J22" s="7" t="s">
        <v>67</v>
      </c>
      <c r="K22" s="7" t="s">
        <v>121</v>
      </c>
      <c r="L22" s="7" t="s">
        <v>38</v>
      </c>
      <c r="M22" s="7">
        <v>747000.0</v>
      </c>
      <c r="N22" s="7" t="s">
        <v>122</v>
      </c>
      <c r="O22" s="7" t="s">
        <v>105</v>
      </c>
      <c r="P22" s="7" t="s">
        <v>41</v>
      </c>
      <c r="Q22" s="7" t="s">
        <v>42</v>
      </c>
      <c r="R22" s="7" t="s">
        <v>123</v>
      </c>
      <c r="S22" s="7" t="s">
        <v>116</v>
      </c>
      <c r="T22" s="7" t="s">
        <v>45</v>
      </c>
      <c r="U22" s="7" t="s">
        <v>125</v>
      </c>
      <c r="V22" s="7" t="s">
        <v>46</v>
      </c>
      <c r="W22" s="7" t="s">
        <v>47</v>
      </c>
      <c r="X22" s="7" t="s">
        <v>48</v>
      </c>
      <c r="Y22" s="7" t="s">
        <v>59</v>
      </c>
      <c r="Z22" s="7" t="s">
        <v>137</v>
      </c>
      <c r="AA22" s="7" t="s">
        <v>127</v>
      </c>
      <c r="AB22" s="7" t="s">
        <v>133</v>
      </c>
      <c r="AC22" s="6"/>
    </row>
    <row r="23">
      <c r="A23" s="4" t="str">
        <f t="shared" si="1"/>
        <v>022</v>
      </c>
      <c r="B23" s="7" t="s">
        <v>150</v>
      </c>
      <c r="C23" s="7" t="s">
        <v>151</v>
      </c>
      <c r="D23" s="7" t="s">
        <v>119</v>
      </c>
      <c r="E23" s="7" t="s">
        <v>120</v>
      </c>
      <c r="F23" s="7" t="s">
        <v>98</v>
      </c>
      <c r="G23" s="7" t="s">
        <v>33</v>
      </c>
      <c r="H23" s="7" t="s">
        <v>115</v>
      </c>
      <c r="I23" s="7" t="s">
        <v>104</v>
      </c>
      <c r="J23" s="7" t="s">
        <v>36</v>
      </c>
      <c r="K23" s="7" t="s">
        <v>121</v>
      </c>
      <c r="L23" s="7" t="s">
        <v>38</v>
      </c>
      <c r="M23" s="7">
        <v>769000.0</v>
      </c>
      <c r="N23" s="7" t="s">
        <v>122</v>
      </c>
      <c r="O23" s="7" t="s">
        <v>40</v>
      </c>
      <c r="P23" s="7" t="s">
        <v>41</v>
      </c>
      <c r="Q23" s="7" t="s">
        <v>42</v>
      </c>
      <c r="R23" s="7" t="s">
        <v>130</v>
      </c>
      <c r="S23" s="7" t="s">
        <v>108</v>
      </c>
      <c r="T23" s="7" t="s">
        <v>78</v>
      </c>
      <c r="U23" s="7" t="s">
        <v>58</v>
      </c>
      <c r="V23" s="7" t="s">
        <v>46</v>
      </c>
      <c r="W23" s="7" t="s">
        <v>47</v>
      </c>
      <c r="X23" s="7" t="s">
        <v>48</v>
      </c>
      <c r="Y23" s="7" t="s">
        <v>49</v>
      </c>
      <c r="Z23" s="7" t="s">
        <v>126</v>
      </c>
      <c r="AA23" s="7" t="s">
        <v>127</v>
      </c>
      <c r="AB23" s="7" t="s">
        <v>133</v>
      </c>
      <c r="AC23" s="6"/>
    </row>
    <row r="24">
      <c r="A24" s="4" t="str">
        <f t="shared" si="1"/>
        <v>023</v>
      </c>
      <c r="B24" s="7" t="s">
        <v>152</v>
      </c>
      <c r="C24" s="7" t="s">
        <v>153</v>
      </c>
      <c r="D24" s="7" t="s">
        <v>119</v>
      </c>
      <c r="E24" s="7" t="s">
        <v>120</v>
      </c>
      <c r="F24" s="7" t="s">
        <v>98</v>
      </c>
      <c r="G24" s="7" t="s">
        <v>33</v>
      </c>
      <c r="H24" s="7" t="s">
        <v>34</v>
      </c>
      <c r="I24" s="7" t="s">
        <v>66</v>
      </c>
      <c r="J24" s="7" t="s">
        <v>67</v>
      </c>
      <c r="K24" s="7" t="s">
        <v>154</v>
      </c>
      <c r="L24" s="7" t="s">
        <v>38</v>
      </c>
      <c r="M24" s="7">
        <v>887000.0</v>
      </c>
      <c r="N24" s="7" t="s">
        <v>122</v>
      </c>
      <c r="O24" s="7" t="s">
        <v>40</v>
      </c>
      <c r="P24" s="7" t="s">
        <v>41</v>
      </c>
      <c r="Q24" s="7" t="s">
        <v>42</v>
      </c>
      <c r="R24" s="7" t="s">
        <v>123</v>
      </c>
      <c r="S24" s="7" t="s">
        <v>147</v>
      </c>
      <c r="T24" s="7" t="s">
        <v>124</v>
      </c>
      <c r="U24" s="7" t="s">
        <v>58</v>
      </c>
      <c r="V24" s="7" t="s">
        <v>46</v>
      </c>
      <c r="W24" s="7" t="s">
        <v>47</v>
      </c>
      <c r="X24" s="7" t="s">
        <v>48</v>
      </c>
      <c r="Y24" s="7" t="s">
        <v>59</v>
      </c>
      <c r="Z24" s="7" t="s">
        <v>137</v>
      </c>
      <c r="AA24" s="7" t="s">
        <v>127</v>
      </c>
      <c r="AB24" s="7" t="s">
        <v>62</v>
      </c>
      <c r="AC24" s="6"/>
    </row>
    <row r="25">
      <c r="A25" s="4" t="str">
        <f t="shared" si="1"/>
        <v>024</v>
      </c>
      <c r="B25" s="7" t="s">
        <v>155</v>
      </c>
      <c r="C25" s="7" t="s">
        <v>156</v>
      </c>
      <c r="D25" s="7" t="s">
        <v>119</v>
      </c>
      <c r="E25" s="7" t="s">
        <v>120</v>
      </c>
      <c r="F25" s="7" t="s">
        <v>55</v>
      </c>
      <c r="G25" s="7" t="s">
        <v>74</v>
      </c>
      <c r="H25" s="7" t="s">
        <v>115</v>
      </c>
      <c r="I25" s="7" t="s">
        <v>83</v>
      </c>
      <c r="J25" s="7" t="s">
        <v>67</v>
      </c>
      <c r="K25" s="7" t="s">
        <v>157</v>
      </c>
      <c r="L25" s="7" t="s">
        <v>38</v>
      </c>
      <c r="M25" s="7">
        <v>1324000.0</v>
      </c>
      <c r="N25" s="7" t="s">
        <v>122</v>
      </c>
      <c r="O25" s="7" t="s">
        <v>40</v>
      </c>
      <c r="P25" s="7" t="s">
        <v>84</v>
      </c>
      <c r="Q25" s="7" t="s">
        <v>42</v>
      </c>
      <c r="R25" s="7" t="s">
        <v>123</v>
      </c>
      <c r="S25" s="7" t="s">
        <v>147</v>
      </c>
      <c r="T25" s="7" t="s">
        <v>45</v>
      </c>
      <c r="U25" s="7" t="s">
        <v>40</v>
      </c>
      <c r="V25" s="7" t="s">
        <v>46</v>
      </c>
      <c r="W25" s="7" t="s">
        <v>47</v>
      </c>
      <c r="X25" s="7" t="s">
        <v>48</v>
      </c>
      <c r="Y25" s="7" t="s">
        <v>59</v>
      </c>
      <c r="Z25" s="7" t="s">
        <v>126</v>
      </c>
      <c r="AA25" s="7" t="s">
        <v>127</v>
      </c>
      <c r="AB25" s="7" t="s">
        <v>144</v>
      </c>
      <c r="AC25" s="6"/>
    </row>
    <row r="26">
      <c r="A26" s="4" t="str">
        <f t="shared" si="1"/>
        <v>025</v>
      </c>
      <c r="B26" s="7" t="s">
        <v>158</v>
      </c>
      <c r="C26" s="7" t="s">
        <v>159</v>
      </c>
      <c r="D26" s="7" t="s">
        <v>119</v>
      </c>
      <c r="E26" s="7" t="s">
        <v>120</v>
      </c>
      <c r="F26" s="7" t="s">
        <v>55</v>
      </c>
      <c r="G26" s="7" t="s">
        <v>33</v>
      </c>
      <c r="H26" s="7" t="s">
        <v>65</v>
      </c>
      <c r="I26" s="7" t="s">
        <v>83</v>
      </c>
      <c r="J26" s="7" t="s">
        <v>67</v>
      </c>
      <c r="K26" s="7" t="s">
        <v>121</v>
      </c>
      <c r="L26" s="7" t="s">
        <v>38</v>
      </c>
      <c r="M26" s="7">
        <v>862000.0</v>
      </c>
      <c r="N26" s="7" t="s">
        <v>122</v>
      </c>
      <c r="O26" s="7" t="s">
        <v>40</v>
      </c>
      <c r="P26" s="7" t="s">
        <v>41</v>
      </c>
      <c r="Q26" s="7" t="s">
        <v>42</v>
      </c>
      <c r="R26" s="7" t="s">
        <v>130</v>
      </c>
      <c r="S26" s="7" t="s">
        <v>147</v>
      </c>
      <c r="T26" s="7" t="s">
        <v>45</v>
      </c>
      <c r="U26" s="7" t="s">
        <v>40</v>
      </c>
      <c r="V26" s="7" t="s">
        <v>46</v>
      </c>
      <c r="W26" s="7" t="s">
        <v>47</v>
      </c>
      <c r="X26" s="7" t="s">
        <v>48</v>
      </c>
      <c r="Y26" s="7" t="s">
        <v>86</v>
      </c>
      <c r="Z26" s="7" t="s">
        <v>137</v>
      </c>
      <c r="AA26" s="7" t="s">
        <v>127</v>
      </c>
      <c r="AB26" s="7" t="s">
        <v>144</v>
      </c>
      <c r="AC26" s="6"/>
    </row>
    <row r="27">
      <c r="A27" s="4" t="str">
        <f t="shared" si="1"/>
        <v>026</v>
      </c>
      <c r="B27" s="7" t="s">
        <v>160</v>
      </c>
      <c r="C27" s="7" t="s">
        <v>161</v>
      </c>
      <c r="D27" s="7" t="s">
        <v>119</v>
      </c>
      <c r="E27" s="7" t="s">
        <v>120</v>
      </c>
      <c r="F27" s="7" t="s">
        <v>55</v>
      </c>
      <c r="G27" s="7" t="s">
        <v>82</v>
      </c>
      <c r="H27" s="7" t="s">
        <v>34</v>
      </c>
      <c r="I27" s="7" t="s">
        <v>104</v>
      </c>
      <c r="J27" s="7" t="s">
        <v>67</v>
      </c>
      <c r="K27" s="7" t="s">
        <v>121</v>
      </c>
      <c r="L27" s="7" t="s">
        <v>38</v>
      </c>
      <c r="M27" s="7">
        <v>742000.0</v>
      </c>
      <c r="N27" s="7" t="s">
        <v>122</v>
      </c>
      <c r="O27" s="7" t="s">
        <v>58</v>
      </c>
      <c r="P27" s="7" t="s">
        <v>41</v>
      </c>
      <c r="Q27" s="7" t="s">
        <v>42</v>
      </c>
      <c r="R27" s="7" t="s">
        <v>130</v>
      </c>
      <c r="S27" s="7" t="s">
        <v>92</v>
      </c>
      <c r="T27" s="7" t="s">
        <v>124</v>
      </c>
      <c r="U27" s="7" t="s">
        <v>125</v>
      </c>
      <c r="V27" s="7" t="s">
        <v>46</v>
      </c>
      <c r="W27" s="7" t="s">
        <v>47</v>
      </c>
      <c r="X27" s="7" t="s">
        <v>48</v>
      </c>
      <c r="Y27" s="7" t="s">
        <v>49</v>
      </c>
      <c r="Z27" s="7" t="s">
        <v>95</v>
      </c>
      <c r="AA27" s="7" t="s">
        <v>127</v>
      </c>
      <c r="AB27" s="7" t="s">
        <v>133</v>
      </c>
      <c r="AC27" s="6"/>
    </row>
    <row r="28">
      <c r="A28" s="4" t="str">
        <f t="shared" si="1"/>
        <v>027</v>
      </c>
      <c r="B28" s="7" t="s">
        <v>162</v>
      </c>
      <c r="C28" s="7" t="s">
        <v>163</v>
      </c>
      <c r="D28" s="7" t="s">
        <v>164</v>
      </c>
      <c r="E28" s="7" t="s">
        <v>165</v>
      </c>
      <c r="F28" s="7" t="s">
        <v>55</v>
      </c>
      <c r="G28" s="7" t="s">
        <v>166</v>
      </c>
      <c r="H28" s="7" t="s">
        <v>35</v>
      </c>
      <c r="I28" s="7" t="s">
        <v>75</v>
      </c>
      <c r="J28" s="7" t="s">
        <v>167</v>
      </c>
      <c r="K28" s="7" t="s">
        <v>91</v>
      </c>
      <c r="L28" s="7" t="s">
        <v>38</v>
      </c>
      <c r="M28" s="7">
        <v>256000.0</v>
      </c>
      <c r="N28" s="7" t="s">
        <v>122</v>
      </c>
      <c r="O28" s="7" t="s">
        <v>58</v>
      </c>
      <c r="P28" s="7" t="s">
        <v>168</v>
      </c>
      <c r="Q28" s="7" t="s">
        <v>42</v>
      </c>
      <c r="R28" s="7" t="s">
        <v>169</v>
      </c>
      <c r="S28" s="7" t="s">
        <v>170</v>
      </c>
      <c r="T28" s="7" t="s">
        <v>45</v>
      </c>
      <c r="U28" s="7" t="s">
        <v>58</v>
      </c>
      <c r="V28" s="7" t="s">
        <v>171</v>
      </c>
      <c r="W28" s="7" t="s">
        <v>47</v>
      </c>
      <c r="X28" s="7" t="s">
        <v>48</v>
      </c>
      <c r="Y28" s="7" t="s">
        <v>172</v>
      </c>
      <c r="Z28" s="7" t="s">
        <v>173</v>
      </c>
      <c r="AA28" s="7" t="s">
        <v>174</v>
      </c>
      <c r="AB28" s="7" t="s">
        <v>133</v>
      </c>
      <c r="AC28" s="6"/>
    </row>
    <row r="29">
      <c r="A29" s="4" t="str">
        <f t="shared" si="1"/>
        <v>028</v>
      </c>
      <c r="B29" s="7" t="s">
        <v>175</v>
      </c>
      <c r="C29" s="7" t="s">
        <v>176</v>
      </c>
      <c r="D29" s="7" t="s">
        <v>164</v>
      </c>
      <c r="E29" s="7" t="s">
        <v>165</v>
      </c>
      <c r="F29" s="7" t="s">
        <v>55</v>
      </c>
      <c r="G29" s="7" t="s">
        <v>166</v>
      </c>
      <c r="H29" s="7" t="s">
        <v>35</v>
      </c>
      <c r="I29" s="7" t="s">
        <v>75</v>
      </c>
      <c r="J29" s="7" t="s">
        <v>167</v>
      </c>
      <c r="K29" s="7" t="s">
        <v>91</v>
      </c>
      <c r="L29" s="7" t="s">
        <v>38</v>
      </c>
      <c r="M29" s="7">
        <v>1298000.0</v>
      </c>
      <c r="N29" s="7" t="s">
        <v>122</v>
      </c>
      <c r="O29" s="7" t="s">
        <v>58</v>
      </c>
      <c r="P29" s="7" t="s">
        <v>69</v>
      </c>
      <c r="Q29" s="7" t="s">
        <v>42</v>
      </c>
      <c r="R29" s="7" t="s">
        <v>177</v>
      </c>
      <c r="S29" s="7" t="s">
        <v>143</v>
      </c>
      <c r="T29" s="7" t="s">
        <v>45</v>
      </c>
      <c r="U29" s="7" t="s">
        <v>58</v>
      </c>
      <c r="V29" s="7" t="s">
        <v>171</v>
      </c>
      <c r="W29" s="7" t="s">
        <v>47</v>
      </c>
      <c r="X29" s="7" t="s">
        <v>48</v>
      </c>
      <c r="Y29" s="7" t="s">
        <v>172</v>
      </c>
      <c r="Z29" s="7" t="s">
        <v>178</v>
      </c>
      <c r="AA29" s="7" t="s">
        <v>179</v>
      </c>
      <c r="AB29" s="7" t="s">
        <v>180</v>
      </c>
      <c r="AC29" s="6"/>
    </row>
    <row r="30">
      <c r="A30" s="4" t="str">
        <f t="shared" si="1"/>
        <v>029</v>
      </c>
      <c r="B30" s="7" t="s">
        <v>181</v>
      </c>
      <c r="C30" s="7" t="s">
        <v>182</v>
      </c>
      <c r="D30" s="7" t="s">
        <v>164</v>
      </c>
      <c r="E30" s="7" t="s">
        <v>165</v>
      </c>
      <c r="F30" s="7" t="s">
        <v>55</v>
      </c>
      <c r="G30" s="7" t="s">
        <v>166</v>
      </c>
      <c r="H30" s="7" t="s">
        <v>35</v>
      </c>
      <c r="I30" s="7" t="s">
        <v>75</v>
      </c>
      <c r="J30" s="7" t="s">
        <v>167</v>
      </c>
      <c r="K30" s="7" t="s">
        <v>157</v>
      </c>
      <c r="L30" s="7" t="s">
        <v>38</v>
      </c>
      <c r="M30" s="7">
        <v>2105000.0</v>
      </c>
      <c r="N30" s="7" t="s">
        <v>122</v>
      </c>
      <c r="O30" s="7" t="s">
        <v>105</v>
      </c>
      <c r="P30" s="7" t="s">
        <v>69</v>
      </c>
      <c r="Q30" s="7" t="s">
        <v>42</v>
      </c>
      <c r="R30" s="7" t="s">
        <v>183</v>
      </c>
      <c r="S30" s="7" t="s">
        <v>44</v>
      </c>
      <c r="T30" s="7" t="s">
        <v>45</v>
      </c>
      <c r="U30" s="7" t="s">
        <v>125</v>
      </c>
      <c r="V30" s="7" t="s">
        <v>171</v>
      </c>
      <c r="W30" s="7" t="s">
        <v>47</v>
      </c>
      <c r="X30" s="7" t="s">
        <v>48</v>
      </c>
      <c r="Y30" s="7" t="s">
        <v>172</v>
      </c>
      <c r="Z30" s="7" t="s">
        <v>178</v>
      </c>
      <c r="AA30" s="7" t="s">
        <v>179</v>
      </c>
      <c r="AB30" s="7" t="s">
        <v>62</v>
      </c>
      <c r="AC30" s="6"/>
    </row>
    <row r="31">
      <c r="A31" s="4" t="str">
        <f t="shared" si="1"/>
        <v>030</v>
      </c>
      <c r="B31" s="7" t="s">
        <v>184</v>
      </c>
      <c r="C31" s="7" t="s">
        <v>185</v>
      </c>
      <c r="D31" s="7" t="s">
        <v>164</v>
      </c>
      <c r="E31" s="7" t="s">
        <v>165</v>
      </c>
      <c r="F31" s="7" t="s">
        <v>55</v>
      </c>
      <c r="G31" s="7" t="s">
        <v>166</v>
      </c>
      <c r="H31" s="7" t="s">
        <v>35</v>
      </c>
      <c r="I31" s="7" t="s">
        <v>35</v>
      </c>
      <c r="J31" s="7" t="s">
        <v>167</v>
      </c>
      <c r="K31" s="7" t="s">
        <v>154</v>
      </c>
      <c r="L31" s="7" t="s">
        <v>38</v>
      </c>
      <c r="M31" s="7">
        <v>1106000.0</v>
      </c>
      <c r="N31" s="7" t="s">
        <v>122</v>
      </c>
      <c r="O31" s="7" t="s">
        <v>40</v>
      </c>
      <c r="P31" s="7" t="s">
        <v>84</v>
      </c>
      <c r="Q31" s="7" t="s">
        <v>42</v>
      </c>
      <c r="R31" s="7" t="s">
        <v>169</v>
      </c>
      <c r="S31" s="7" t="s">
        <v>57</v>
      </c>
      <c r="T31" s="7" t="s">
        <v>45</v>
      </c>
      <c r="U31" s="7" t="s">
        <v>58</v>
      </c>
      <c r="V31" s="7" t="s">
        <v>171</v>
      </c>
      <c r="W31" s="7" t="s">
        <v>47</v>
      </c>
      <c r="X31" s="7" t="s">
        <v>48</v>
      </c>
      <c r="Y31" s="7" t="s">
        <v>172</v>
      </c>
      <c r="Z31" s="7" t="s">
        <v>186</v>
      </c>
      <c r="AA31" s="7" t="s">
        <v>179</v>
      </c>
      <c r="AB31" s="7" t="s">
        <v>62</v>
      </c>
      <c r="AC31" s="6"/>
    </row>
    <row r="32">
      <c r="A32" s="4" t="str">
        <f t="shared" si="1"/>
        <v>031</v>
      </c>
      <c r="B32" s="7" t="s">
        <v>187</v>
      </c>
      <c r="C32" s="7" t="s">
        <v>188</v>
      </c>
      <c r="D32" s="7" t="s">
        <v>164</v>
      </c>
      <c r="E32" s="7" t="s">
        <v>165</v>
      </c>
      <c r="F32" s="7" t="s">
        <v>55</v>
      </c>
      <c r="G32" s="7" t="s">
        <v>166</v>
      </c>
      <c r="H32" s="7" t="s">
        <v>35</v>
      </c>
      <c r="I32" s="7" t="s">
        <v>35</v>
      </c>
      <c r="J32" s="7" t="s">
        <v>167</v>
      </c>
      <c r="K32" s="7" t="s">
        <v>91</v>
      </c>
      <c r="L32" s="7" t="s">
        <v>142</v>
      </c>
      <c r="M32" s="7">
        <v>1244000.0</v>
      </c>
      <c r="N32" s="7" t="s">
        <v>122</v>
      </c>
      <c r="O32" s="7" t="s">
        <v>58</v>
      </c>
      <c r="P32" s="7" t="s">
        <v>189</v>
      </c>
      <c r="Q32" s="7" t="s">
        <v>42</v>
      </c>
      <c r="R32" s="7" t="s">
        <v>177</v>
      </c>
      <c r="S32" s="7" t="s">
        <v>99</v>
      </c>
      <c r="T32" s="7" t="s">
        <v>45</v>
      </c>
      <c r="U32" s="7" t="s">
        <v>58</v>
      </c>
      <c r="V32" s="7" t="s">
        <v>171</v>
      </c>
      <c r="W32" s="7" t="s">
        <v>47</v>
      </c>
      <c r="X32" s="7" t="s">
        <v>48</v>
      </c>
      <c r="Y32" s="7" t="s">
        <v>172</v>
      </c>
      <c r="Z32" s="7" t="s">
        <v>178</v>
      </c>
      <c r="AA32" s="7" t="s">
        <v>179</v>
      </c>
      <c r="AB32" s="7" t="s">
        <v>180</v>
      </c>
      <c r="AC32" s="6"/>
    </row>
    <row r="33">
      <c r="A33" s="4" t="str">
        <f t="shared" si="1"/>
        <v>032</v>
      </c>
      <c r="B33" s="7" t="s">
        <v>190</v>
      </c>
      <c r="C33" s="7" t="s">
        <v>191</v>
      </c>
      <c r="D33" s="7" t="s">
        <v>164</v>
      </c>
      <c r="E33" s="7" t="s">
        <v>165</v>
      </c>
      <c r="F33" s="7" t="s">
        <v>55</v>
      </c>
      <c r="G33" s="7" t="s">
        <v>166</v>
      </c>
      <c r="H33" s="7" t="s">
        <v>35</v>
      </c>
      <c r="I33" s="7" t="s">
        <v>35</v>
      </c>
      <c r="J33" s="7" t="s">
        <v>167</v>
      </c>
      <c r="K33" s="7" t="s">
        <v>91</v>
      </c>
      <c r="L33" s="7" t="s">
        <v>38</v>
      </c>
      <c r="M33" s="7">
        <v>1341000.0</v>
      </c>
      <c r="N33" s="7" t="s">
        <v>122</v>
      </c>
      <c r="O33" s="7" t="s">
        <v>105</v>
      </c>
      <c r="P33" s="7" t="s">
        <v>41</v>
      </c>
      <c r="Q33" s="7" t="s">
        <v>42</v>
      </c>
      <c r="R33" s="7" t="s">
        <v>177</v>
      </c>
      <c r="S33" s="7" t="s">
        <v>143</v>
      </c>
      <c r="T33" s="7" t="s">
        <v>124</v>
      </c>
      <c r="U33" s="7" t="s">
        <v>58</v>
      </c>
      <c r="V33" s="7" t="s">
        <v>171</v>
      </c>
      <c r="W33" s="7" t="s">
        <v>47</v>
      </c>
      <c r="X33" s="7" t="s">
        <v>48</v>
      </c>
      <c r="Y33" s="7" t="s">
        <v>172</v>
      </c>
      <c r="Z33" s="7" t="s">
        <v>192</v>
      </c>
      <c r="AA33" s="7" t="s">
        <v>179</v>
      </c>
      <c r="AB33" s="7" t="s">
        <v>180</v>
      </c>
      <c r="AC33" s="6"/>
    </row>
    <row r="34">
      <c r="A34" s="4" t="str">
        <f t="shared" si="1"/>
        <v>033</v>
      </c>
      <c r="B34" s="7" t="s">
        <v>193</v>
      </c>
      <c r="C34" s="7" t="s">
        <v>194</v>
      </c>
      <c r="D34" s="7" t="s">
        <v>164</v>
      </c>
      <c r="E34" s="7" t="s">
        <v>165</v>
      </c>
      <c r="F34" s="7" t="s">
        <v>55</v>
      </c>
      <c r="G34" s="7" t="s">
        <v>166</v>
      </c>
      <c r="H34" s="7" t="s">
        <v>35</v>
      </c>
      <c r="I34" s="7" t="s">
        <v>75</v>
      </c>
      <c r="J34" s="7" t="s">
        <v>167</v>
      </c>
      <c r="K34" s="7" t="s">
        <v>91</v>
      </c>
      <c r="L34" s="7" t="s">
        <v>38</v>
      </c>
      <c r="M34" s="7">
        <v>819000.0</v>
      </c>
      <c r="N34" s="7" t="s">
        <v>122</v>
      </c>
      <c r="O34" s="7" t="s">
        <v>40</v>
      </c>
      <c r="P34" s="7" t="s">
        <v>168</v>
      </c>
      <c r="Q34" s="7" t="s">
        <v>42</v>
      </c>
      <c r="R34" s="7" t="s">
        <v>177</v>
      </c>
      <c r="S34" s="7" t="s">
        <v>77</v>
      </c>
      <c r="T34" s="7" t="s">
        <v>45</v>
      </c>
      <c r="U34" s="7" t="s">
        <v>125</v>
      </c>
      <c r="V34" s="7" t="s">
        <v>171</v>
      </c>
      <c r="W34" s="7" t="s">
        <v>47</v>
      </c>
      <c r="X34" s="7" t="s">
        <v>48</v>
      </c>
      <c r="Y34" s="7" t="s">
        <v>172</v>
      </c>
      <c r="Z34" s="7" t="s">
        <v>186</v>
      </c>
      <c r="AA34" s="7" t="s">
        <v>179</v>
      </c>
      <c r="AB34" s="7" t="s">
        <v>133</v>
      </c>
      <c r="AC34" s="6"/>
    </row>
    <row r="35">
      <c r="A35" s="4" t="str">
        <f t="shared" si="1"/>
        <v>034</v>
      </c>
      <c r="B35" s="7" t="s">
        <v>195</v>
      </c>
      <c r="C35" s="7" t="s">
        <v>196</v>
      </c>
      <c r="D35" s="7" t="s">
        <v>164</v>
      </c>
      <c r="E35" s="7" t="s">
        <v>165</v>
      </c>
      <c r="F35" s="7" t="s">
        <v>55</v>
      </c>
      <c r="G35" s="7" t="s">
        <v>166</v>
      </c>
      <c r="H35" s="7" t="s">
        <v>35</v>
      </c>
      <c r="I35" s="7" t="s">
        <v>75</v>
      </c>
      <c r="J35" s="7" t="s">
        <v>167</v>
      </c>
      <c r="K35" s="7" t="s">
        <v>91</v>
      </c>
      <c r="L35" s="7" t="s">
        <v>38</v>
      </c>
      <c r="M35" s="7">
        <v>596000.0</v>
      </c>
      <c r="N35" s="7" t="s">
        <v>122</v>
      </c>
      <c r="O35" s="7" t="s">
        <v>58</v>
      </c>
      <c r="P35" s="7" t="s">
        <v>69</v>
      </c>
      <c r="Q35" s="7" t="s">
        <v>42</v>
      </c>
      <c r="R35" s="7" t="s">
        <v>183</v>
      </c>
      <c r="S35" s="7" t="s">
        <v>147</v>
      </c>
      <c r="T35" s="7" t="s">
        <v>45</v>
      </c>
      <c r="U35" s="7" t="s">
        <v>125</v>
      </c>
      <c r="V35" s="7" t="s">
        <v>171</v>
      </c>
      <c r="W35" s="7" t="s">
        <v>47</v>
      </c>
      <c r="X35" s="7" t="s">
        <v>48</v>
      </c>
      <c r="Y35" s="7" t="s">
        <v>172</v>
      </c>
      <c r="Z35" s="7" t="s">
        <v>186</v>
      </c>
      <c r="AA35" s="7" t="s">
        <v>179</v>
      </c>
      <c r="AB35" s="7" t="s">
        <v>180</v>
      </c>
      <c r="AC35" s="6"/>
    </row>
    <row r="36">
      <c r="A36" s="4" t="str">
        <f t="shared" si="1"/>
        <v>035</v>
      </c>
      <c r="B36" s="7" t="s">
        <v>197</v>
      </c>
      <c r="C36" s="7" t="s">
        <v>198</v>
      </c>
      <c r="D36" s="7" t="s">
        <v>164</v>
      </c>
      <c r="E36" s="7" t="s">
        <v>165</v>
      </c>
      <c r="F36" s="7" t="s">
        <v>55</v>
      </c>
      <c r="G36" s="7" t="s">
        <v>166</v>
      </c>
      <c r="H36" s="7" t="s">
        <v>35</v>
      </c>
      <c r="I36" s="7" t="s">
        <v>75</v>
      </c>
      <c r="J36" s="7" t="s">
        <v>167</v>
      </c>
      <c r="K36" s="7" t="s">
        <v>91</v>
      </c>
      <c r="L36" s="7" t="s">
        <v>38</v>
      </c>
      <c r="M36" s="7">
        <v>1136000.0</v>
      </c>
      <c r="N36" s="7" t="s">
        <v>122</v>
      </c>
      <c r="O36" s="7" t="s">
        <v>58</v>
      </c>
      <c r="P36" s="7" t="s">
        <v>84</v>
      </c>
      <c r="Q36" s="7" t="s">
        <v>42</v>
      </c>
      <c r="R36" s="7" t="s">
        <v>177</v>
      </c>
      <c r="S36" s="7" t="s">
        <v>108</v>
      </c>
      <c r="T36" s="7" t="s">
        <v>124</v>
      </c>
      <c r="U36" s="7" t="s">
        <v>125</v>
      </c>
      <c r="V36" s="7" t="s">
        <v>171</v>
      </c>
      <c r="W36" s="7" t="s">
        <v>47</v>
      </c>
      <c r="X36" s="7" t="s">
        <v>48</v>
      </c>
      <c r="Y36" s="7" t="s">
        <v>172</v>
      </c>
      <c r="Z36" s="7" t="s">
        <v>192</v>
      </c>
      <c r="AA36" s="7" t="s">
        <v>179</v>
      </c>
      <c r="AB36" s="7" t="s">
        <v>133</v>
      </c>
      <c r="AC36" s="6"/>
    </row>
    <row r="37">
      <c r="A37" s="4" t="str">
        <f t="shared" si="1"/>
        <v>036</v>
      </c>
      <c r="B37" s="7" t="s">
        <v>199</v>
      </c>
      <c r="C37" s="7" t="s">
        <v>200</v>
      </c>
      <c r="D37" s="7" t="s">
        <v>164</v>
      </c>
      <c r="E37" s="7" t="s">
        <v>165</v>
      </c>
      <c r="F37" s="7" t="s">
        <v>55</v>
      </c>
      <c r="G37" s="7" t="s">
        <v>166</v>
      </c>
      <c r="H37" s="7" t="s">
        <v>35</v>
      </c>
      <c r="I37" s="7" t="s">
        <v>35</v>
      </c>
      <c r="J37" s="7" t="s">
        <v>167</v>
      </c>
      <c r="K37" s="7" t="s">
        <v>91</v>
      </c>
      <c r="L37" s="7" t="s">
        <v>38</v>
      </c>
      <c r="M37" s="7">
        <v>1134000.0</v>
      </c>
      <c r="N37" s="7" t="s">
        <v>122</v>
      </c>
      <c r="O37" s="7" t="s">
        <v>58</v>
      </c>
      <c r="P37" s="7" t="s">
        <v>41</v>
      </c>
      <c r="Q37" s="7" t="s">
        <v>42</v>
      </c>
      <c r="R37" s="7" t="s">
        <v>177</v>
      </c>
      <c r="S37" s="7" t="s">
        <v>108</v>
      </c>
      <c r="T37" s="7" t="s">
        <v>78</v>
      </c>
      <c r="U37" s="7" t="s">
        <v>58</v>
      </c>
      <c r="V37" s="7" t="s">
        <v>171</v>
      </c>
      <c r="W37" s="7" t="s">
        <v>47</v>
      </c>
      <c r="X37" s="7" t="s">
        <v>48</v>
      </c>
      <c r="Y37" s="7" t="s">
        <v>172</v>
      </c>
      <c r="Z37" s="7" t="s">
        <v>192</v>
      </c>
      <c r="AA37" s="7" t="s">
        <v>179</v>
      </c>
      <c r="AB37" s="7" t="s">
        <v>180</v>
      </c>
      <c r="AC37" s="6"/>
    </row>
    <row r="38">
      <c r="A38" s="4" t="str">
        <f t="shared" si="1"/>
        <v>037</v>
      </c>
      <c r="B38" s="7" t="s">
        <v>201</v>
      </c>
      <c r="C38" s="7" t="s">
        <v>202</v>
      </c>
      <c r="D38" s="7" t="s">
        <v>164</v>
      </c>
      <c r="E38" s="7" t="s">
        <v>165</v>
      </c>
      <c r="F38" s="7" t="s">
        <v>55</v>
      </c>
      <c r="G38" s="7" t="s">
        <v>166</v>
      </c>
      <c r="H38" s="7" t="s">
        <v>35</v>
      </c>
      <c r="I38" s="7" t="s">
        <v>75</v>
      </c>
      <c r="J38" s="7" t="s">
        <v>167</v>
      </c>
      <c r="K38" s="7" t="s">
        <v>91</v>
      </c>
      <c r="L38" s="7" t="s">
        <v>38</v>
      </c>
      <c r="M38" s="7">
        <v>1154000.0</v>
      </c>
      <c r="N38" s="7" t="s">
        <v>122</v>
      </c>
      <c r="O38" s="7" t="s">
        <v>58</v>
      </c>
      <c r="P38" s="7" t="s">
        <v>69</v>
      </c>
      <c r="Q38" s="7" t="s">
        <v>42</v>
      </c>
      <c r="R38" s="7" t="s">
        <v>169</v>
      </c>
      <c r="S38" s="7" t="s">
        <v>147</v>
      </c>
      <c r="T38" s="7" t="s">
        <v>124</v>
      </c>
      <c r="U38" s="7" t="s">
        <v>40</v>
      </c>
      <c r="V38" s="7" t="s">
        <v>171</v>
      </c>
      <c r="W38" s="7" t="s">
        <v>47</v>
      </c>
      <c r="X38" s="7" t="s">
        <v>48</v>
      </c>
      <c r="Y38" s="7" t="s">
        <v>172</v>
      </c>
      <c r="Z38" s="7" t="s">
        <v>178</v>
      </c>
      <c r="AA38" s="7" t="s">
        <v>179</v>
      </c>
      <c r="AB38" s="7" t="s">
        <v>180</v>
      </c>
      <c r="AC38" s="6"/>
    </row>
    <row r="39">
      <c r="A39" s="4" t="str">
        <f t="shared" si="1"/>
        <v>038</v>
      </c>
      <c r="B39" s="7" t="s">
        <v>203</v>
      </c>
      <c r="C39" s="7" t="s">
        <v>204</v>
      </c>
      <c r="D39" s="7" t="s">
        <v>164</v>
      </c>
      <c r="E39" s="7" t="s">
        <v>165</v>
      </c>
      <c r="F39" s="7" t="s">
        <v>55</v>
      </c>
      <c r="G39" s="7" t="s">
        <v>166</v>
      </c>
      <c r="H39" s="7" t="s">
        <v>35</v>
      </c>
      <c r="I39" s="7" t="s">
        <v>75</v>
      </c>
      <c r="J39" s="7" t="s">
        <v>167</v>
      </c>
      <c r="K39" s="7" t="s">
        <v>91</v>
      </c>
      <c r="L39" s="7" t="s">
        <v>38</v>
      </c>
      <c r="M39" s="7">
        <v>1329000.0</v>
      </c>
      <c r="N39" s="7" t="s">
        <v>122</v>
      </c>
      <c r="O39" s="7" t="s">
        <v>40</v>
      </c>
      <c r="P39" s="7" t="s">
        <v>69</v>
      </c>
      <c r="Q39" s="7" t="s">
        <v>42</v>
      </c>
      <c r="R39" s="7" t="s">
        <v>183</v>
      </c>
      <c r="S39" s="7" t="s">
        <v>71</v>
      </c>
      <c r="T39" s="7" t="s">
        <v>45</v>
      </c>
      <c r="U39" s="7" t="s">
        <v>58</v>
      </c>
      <c r="V39" s="7" t="s">
        <v>171</v>
      </c>
      <c r="W39" s="7" t="s">
        <v>47</v>
      </c>
      <c r="X39" s="7" t="s">
        <v>48</v>
      </c>
      <c r="Y39" s="7" t="s">
        <v>172</v>
      </c>
      <c r="Z39" s="7" t="s">
        <v>173</v>
      </c>
      <c r="AA39" s="7" t="s">
        <v>179</v>
      </c>
      <c r="AB39" s="7" t="s">
        <v>180</v>
      </c>
      <c r="AC39" s="6"/>
    </row>
    <row r="40">
      <c r="A40" s="4" t="str">
        <f t="shared" si="1"/>
        <v>039</v>
      </c>
      <c r="B40" s="7" t="s">
        <v>205</v>
      </c>
      <c r="C40" s="7" t="s">
        <v>206</v>
      </c>
      <c r="D40" s="7" t="s">
        <v>207</v>
      </c>
      <c r="E40" s="7" t="s">
        <v>208</v>
      </c>
      <c r="F40" s="7" t="s">
        <v>98</v>
      </c>
      <c r="G40" s="7" t="s">
        <v>74</v>
      </c>
      <c r="H40" s="7" t="s">
        <v>115</v>
      </c>
      <c r="I40" s="7" t="s">
        <v>66</v>
      </c>
      <c r="J40" s="7" t="s">
        <v>209</v>
      </c>
      <c r="K40" s="7" t="s">
        <v>210</v>
      </c>
      <c r="L40" s="7" t="s">
        <v>211</v>
      </c>
      <c r="M40" s="7">
        <v>733000.0</v>
      </c>
      <c r="N40" s="7" t="s">
        <v>39</v>
      </c>
      <c r="O40" s="7" t="s">
        <v>58</v>
      </c>
      <c r="P40" s="7" t="s">
        <v>69</v>
      </c>
      <c r="Q40" s="7" t="s">
        <v>42</v>
      </c>
      <c r="R40" s="7" t="s">
        <v>212</v>
      </c>
      <c r="S40" s="7" t="s">
        <v>99</v>
      </c>
      <c r="T40" s="7" t="s">
        <v>45</v>
      </c>
      <c r="U40" s="7" t="s">
        <v>40</v>
      </c>
      <c r="V40" s="7" t="s">
        <v>213</v>
      </c>
      <c r="W40" s="7" t="s">
        <v>214</v>
      </c>
      <c r="X40" s="7" t="s">
        <v>48</v>
      </c>
      <c r="Y40" s="7" t="s">
        <v>172</v>
      </c>
      <c r="Z40" s="7" t="s">
        <v>215</v>
      </c>
      <c r="AA40" s="7" t="s">
        <v>216</v>
      </c>
      <c r="AB40" s="7" t="s">
        <v>62</v>
      </c>
      <c r="AC40" s="6"/>
    </row>
    <row r="41">
      <c r="A41" s="4" t="str">
        <f t="shared" si="1"/>
        <v>040</v>
      </c>
      <c r="B41" s="7" t="s">
        <v>217</v>
      </c>
      <c r="C41" s="7" t="s">
        <v>218</v>
      </c>
      <c r="D41" s="7" t="s">
        <v>207</v>
      </c>
      <c r="E41" s="7" t="s">
        <v>208</v>
      </c>
      <c r="F41" s="7" t="s">
        <v>32</v>
      </c>
      <c r="G41" s="7" t="s">
        <v>166</v>
      </c>
      <c r="H41" s="7" t="s">
        <v>115</v>
      </c>
      <c r="I41" s="7" t="s">
        <v>104</v>
      </c>
      <c r="J41" s="7" t="s">
        <v>219</v>
      </c>
      <c r="K41" s="7" t="s">
        <v>210</v>
      </c>
      <c r="L41" s="7" t="s">
        <v>68</v>
      </c>
      <c r="M41" s="7">
        <v>604000.0</v>
      </c>
      <c r="N41" s="7" t="s">
        <v>39</v>
      </c>
      <c r="O41" s="7" t="s">
        <v>40</v>
      </c>
      <c r="P41" s="7" t="s">
        <v>69</v>
      </c>
      <c r="Q41" s="7" t="s">
        <v>42</v>
      </c>
      <c r="R41" s="7" t="s">
        <v>212</v>
      </c>
      <c r="S41" s="7" t="s">
        <v>143</v>
      </c>
      <c r="T41" s="7" t="s">
        <v>45</v>
      </c>
      <c r="U41" s="7" t="s">
        <v>40</v>
      </c>
      <c r="V41" s="7" t="s">
        <v>213</v>
      </c>
      <c r="W41" s="7" t="s">
        <v>214</v>
      </c>
      <c r="X41" s="7" t="s">
        <v>48</v>
      </c>
      <c r="Y41" s="7" t="s">
        <v>172</v>
      </c>
      <c r="Z41" s="7" t="s">
        <v>220</v>
      </c>
      <c r="AA41" s="7" t="s">
        <v>216</v>
      </c>
      <c r="AB41" s="7" t="s">
        <v>133</v>
      </c>
      <c r="AC41" s="6"/>
    </row>
    <row r="42">
      <c r="A42" s="4" t="str">
        <f t="shared" si="1"/>
        <v>041</v>
      </c>
      <c r="B42" s="7" t="s">
        <v>221</v>
      </c>
      <c r="C42" s="7" t="s">
        <v>222</v>
      </c>
      <c r="D42" s="7" t="s">
        <v>207</v>
      </c>
      <c r="E42" s="7" t="s">
        <v>208</v>
      </c>
      <c r="F42" s="7" t="s">
        <v>98</v>
      </c>
      <c r="G42" s="7" t="s">
        <v>166</v>
      </c>
      <c r="H42" s="7" t="s">
        <v>115</v>
      </c>
      <c r="I42" s="7" t="s">
        <v>56</v>
      </c>
      <c r="J42" s="7" t="s">
        <v>167</v>
      </c>
      <c r="K42" s="7" t="s">
        <v>210</v>
      </c>
      <c r="L42" s="7" t="s">
        <v>211</v>
      </c>
      <c r="M42" s="7">
        <v>453000.0</v>
      </c>
      <c r="N42" s="7" t="s">
        <v>39</v>
      </c>
      <c r="O42" s="7" t="s">
        <v>40</v>
      </c>
      <c r="P42" s="7" t="s">
        <v>69</v>
      </c>
      <c r="Q42" s="7" t="s">
        <v>42</v>
      </c>
      <c r="R42" s="7" t="s">
        <v>223</v>
      </c>
      <c r="S42" s="7" t="s">
        <v>44</v>
      </c>
      <c r="T42" s="7" t="s">
        <v>78</v>
      </c>
      <c r="U42" s="7" t="s">
        <v>40</v>
      </c>
      <c r="V42" s="7" t="s">
        <v>213</v>
      </c>
      <c r="W42" s="7" t="s">
        <v>214</v>
      </c>
      <c r="X42" s="7" t="s">
        <v>48</v>
      </c>
      <c r="Y42" s="7" t="s">
        <v>172</v>
      </c>
      <c r="Z42" s="7" t="s">
        <v>220</v>
      </c>
      <c r="AA42" s="7" t="s">
        <v>216</v>
      </c>
      <c r="AB42" s="7" t="s">
        <v>224</v>
      </c>
      <c r="AC42" s="6"/>
    </row>
    <row r="43">
      <c r="A43" s="4" t="str">
        <f t="shared" si="1"/>
        <v>042</v>
      </c>
      <c r="B43" s="7" t="s">
        <v>225</v>
      </c>
      <c r="C43" s="7" t="s">
        <v>226</v>
      </c>
      <c r="D43" s="7" t="s">
        <v>207</v>
      </c>
      <c r="E43" s="7" t="s">
        <v>208</v>
      </c>
      <c r="F43" s="7" t="s">
        <v>98</v>
      </c>
      <c r="G43" s="7" t="s">
        <v>74</v>
      </c>
      <c r="H43" s="7" t="s">
        <v>115</v>
      </c>
      <c r="I43" s="7" t="s">
        <v>35</v>
      </c>
      <c r="J43" s="7" t="s">
        <v>209</v>
      </c>
      <c r="K43" s="7" t="s">
        <v>210</v>
      </c>
      <c r="L43" s="7" t="s">
        <v>227</v>
      </c>
      <c r="M43" s="7">
        <v>969000.0</v>
      </c>
      <c r="N43" s="7" t="s">
        <v>39</v>
      </c>
      <c r="O43" s="7" t="s">
        <v>40</v>
      </c>
      <c r="P43" s="7" t="s">
        <v>41</v>
      </c>
      <c r="Q43" s="7" t="s">
        <v>42</v>
      </c>
      <c r="R43" s="7" t="s">
        <v>212</v>
      </c>
      <c r="S43" s="7" t="s">
        <v>71</v>
      </c>
      <c r="T43" s="7" t="s">
        <v>78</v>
      </c>
      <c r="U43" s="7" t="s">
        <v>58</v>
      </c>
      <c r="V43" s="7" t="s">
        <v>213</v>
      </c>
      <c r="W43" s="7" t="s">
        <v>214</v>
      </c>
      <c r="X43" s="7" t="s">
        <v>48</v>
      </c>
      <c r="Y43" s="7" t="s">
        <v>172</v>
      </c>
      <c r="Z43" s="7" t="s">
        <v>220</v>
      </c>
      <c r="AA43" s="7" t="s">
        <v>216</v>
      </c>
      <c r="AB43" s="7" t="s">
        <v>133</v>
      </c>
      <c r="AC43" s="6"/>
    </row>
    <row r="44">
      <c r="A44" s="4" t="str">
        <f t="shared" si="1"/>
        <v>043</v>
      </c>
      <c r="B44" s="7" t="s">
        <v>228</v>
      </c>
      <c r="C44" s="7" t="s">
        <v>229</v>
      </c>
      <c r="D44" s="7" t="s">
        <v>207</v>
      </c>
      <c r="E44" s="7" t="s">
        <v>208</v>
      </c>
      <c r="F44" s="7" t="s">
        <v>55</v>
      </c>
      <c r="G44" s="7" t="s">
        <v>74</v>
      </c>
      <c r="H44" s="7" t="s">
        <v>115</v>
      </c>
      <c r="I44" s="7" t="s">
        <v>66</v>
      </c>
      <c r="J44" s="7" t="s">
        <v>219</v>
      </c>
      <c r="K44" s="7" t="s">
        <v>210</v>
      </c>
      <c r="L44" s="7" t="s">
        <v>227</v>
      </c>
      <c r="M44" s="7">
        <v>668000.0</v>
      </c>
      <c r="N44" s="7" t="s">
        <v>39</v>
      </c>
      <c r="O44" s="7" t="s">
        <v>58</v>
      </c>
      <c r="P44" s="7" t="s">
        <v>41</v>
      </c>
      <c r="Q44" s="7" t="s">
        <v>42</v>
      </c>
      <c r="R44" s="7" t="s">
        <v>223</v>
      </c>
      <c r="S44" s="7" t="s">
        <v>71</v>
      </c>
      <c r="T44" s="7" t="s">
        <v>78</v>
      </c>
      <c r="U44" s="7" t="s">
        <v>58</v>
      </c>
      <c r="V44" s="7" t="s">
        <v>213</v>
      </c>
      <c r="W44" s="7" t="s">
        <v>214</v>
      </c>
      <c r="X44" s="7" t="s">
        <v>48</v>
      </c>
      <c r="Y44" s="7" t="s">
        <v>172</v>
      </c>
      <c r="Z44" s="7" t="s">
        <v>220</v>
      </c>
      <c r="AA44" s="7" t="s">
        <v>216</v>
      </c>
      <c r="AB44" s="7" t="s">
        <v>224</v>
      </c>
      <c r="AC44" s="6"/>
    </row>
    <row r="45">
      <c r="A45" s="4" t="str">
        <f t="shared" si="1"/>
        <v>044</v>
      </c>
      <c r="B45" s="7" t="s">
        <v>230</v>
      </c>
      <c r="C45" s="7" t="s">
        <v>231</v>
      </c>
      <c r="D45" s="7" t="s">
        <v>207</v>
      </c>
      <c r="E45" s="7" t="s">
        <v>208</v>
      </c>
      <c r="F45" s="7" t="s">
        <v>55</v>
      </c>
      <c r="G45" s="7" t="s">
        <v>74</v>
      </c>
      <c r="H45" s="7" t="s">
        <v>115</v>
      </c>
      <c r="I45" s="7" t="s">
        <v>66</v>
      </c>
      <c r="J45" s="7" t="s">
        <v>67</v>
      </c>
      <c r="K45" s="7" t="s">
        <v>210</v>
      </c>
      <c r="L45" s="7" t="s">
        <v>227</v>
      </c>
      <c r="M45" s="7">
        <v>497000.0</v>
      </c>
      <c r="N45" s="7" t="s">
        <v>39</v>
      </c>
      <c r="O45" s="7" t="s">
        <v>58</v>
      </c>
      <c r="P45" s="7" t="s">
        <v>41</v>
      </c>
      <c r="Q45" s="7" t="s">
        <v>42</v>
      </c>
      <c r="R45" s="7" t="s">
        <v>183</v>
      </c>
      <c r="S45" s="7" t="s">
        <v>232</v>
      </c>
      <c r="T45" s="7" t="s">
        <v>45</v>
      </c>
      <c r="U45" s="7" t="s">
        <v>58</v>
      </c>
      <c r="V45" s="7" t="s">
        <v>213</v>
      </c>
      <c r="W45" s="7" t="s">
        <v>214</v>
      </c>
      <c r="X45" s="7" t="s">
        <v>48</v>
      </c>
      <c r="Y45" s="7" t="s">
        <v>172</v>
      </c>
      <c r="Z45" s="7" t="s">
        <v>95</v>
      </c>
      <c r="AA45" s="7" t="s">
        <v>216</v>
      </c>
      <c r="AB45" s="7" t="s">
        <v>224</v>
      </c>
      <c r="AC45" s="6"/>
    </row>
    <row r="46">
      <c r="A46" s="4" t="str">
        <f t="shared" si="1"/>
        <v>045</v>
      </c>
      <c r="B46" s="7" t="s">
        <v>233</v>
      </c>
      <c r="C46" s="7" t="s">
        <v>234</v>
      </c>
      <c r="D46" s="7" t="s">
        <v>207</v>
      </c>
      <c r="E46" s="7" t="s">
        <v>208</v>
      </c>
      <c r="F46" s="7" t="s">
        <v>55</v>
      </c>
      <c r="G46" s="7" t="s">
        <v>166</v>
      </c>
      <c r="H46" s="7" t="s">
        <v>115</v>
      </c>
      <c r="I46" s="7" t="s">
        <v>104</v>
      </c>
      <c r="J46" s="7" t="s">
        <v>36</v>
      </c>
      <c r="K46" s="7" t="s">
        <v>210</v>
      </c>
      <c r="L46" s="7" t="s">
        <v>68</v>
      </c>
      <c r="M46" s="7">
        <v>521000.0</v>
      </c>
      <c r="N46" s="7" t="s">
        <v>39</v>
      </c>
      <c r="O46" s="7" t="s">
        <v>58</v>
      </c>
      <c r="P46" s="7" t="s">
        <v>69</v>
      </c>
      <c r="Q46" s="7" t="s">
        <v>42</v>
      </c>
      <c r="R46" s="7" t="s">
        <v>212</v>
      </c>
      <c r="S46" s="7" t="s">
        <v>108</v>
      </c>
      <c r="T46" s="7" t="s">
        <v>78</v>
      </c>
      <c r="U46" s="7" t="s">
        <v>125</v>
      </c>
      <c r="V46" s="7" t="s">
        <v>213</v>
      </c>
      <c r="W46" s="7" t="s">
        <v>214</v>
      </c>
      <c r="X46" s="7" t="s">
        <v>48</v>
      </c>
      <c r="Y46" s="7" t="s">
        <v>172</v>
      </c>
      <c r="Z46" s="7" t="s">
        <v>215</v>
      </c>
      <c r="AA46" s="7" t="s">
        <v>216</v>
      </c>
      <c r="AB46" s="7" t="s">
        <v>62</v>
      </c>
      <c r="AC46" s="6"/>
    </row>
    <row r="47">
      <c r="A47" s="4" t="str">
        <f t="shared" si="1"/>
        <v>046</v>
      </c>
      <c r="B47" s="7" t="s">
        <v>235</v>
      </c>
      <c r="C47" s="7" t="s">
        <v>236</v>
      </c>
      <c r="D47" s="7" t="s">
        <v>207</v>
      </c>
      <c r="E47" s="7" t="s">
        <v>208</v>
      </c>
      <c r="F47" s="7" t="s">
        <v>32</v>
      </c>
      <c r="G47" s="7" t="s">
        <v>74</v>
      </c>
      <c r="H47" s="7" t="s">
        <v>115</v>
      </c>
      <c r="I47" s="7" t="s">
        <v>35</v>
      </c>
      <c r="J47" s="7" t="s">
        <v>36</v>
      </c>
      <c r="K47" s="7" t="s">
        <v>210</v>
      </c>
      <c r="L47" s="7" t="s">
        <v>211</v>
      </c>
      <c r="M47" s="7">
        <v>755000.0</v>
      </c>
      <c r="N47" s="7" t="s">
        <v>39</v>
      </c>
      <c r="O47" s="7" t="s">
        <v>58</v>
      </c>
      <c r="P47" s="7" t="s">
        <v>69</v>
      </c>
      <c r="Q47" s="7" t="s">
        <v>42</v>
      </c>
      <c r="R47" s="7" t="s">
        <v>183</v>
      </c>
      <c r="S47" s="7" t="s">
        <v>170</v>
      </c>
      <c r="T47" s="7" t="s">
        <v>45</v>
      </c>
      <c r="U47" s="7" t="s">
        <v>125</v>
      </c>
      <c r="V47" s="7" t="s">
        <v>213</v>
      </c>
      <c r="W47" s="7" t="s">
        <v>214</v>
      </c>
      <c r="X47" s="7" t="s">
        <v>48</v>
      </c>
      <c r="Y47" s="7" t="s">
        <v>172</v>
      </c>
      <c r="Z47" s="7" t="s">
        <v>220</v>
      </c>
      <c r="AA47" s="7" t="s">
        <v>216</v>
      </c>
      <c r="AB47" s="7" t="s">
        <v>133</v>
      </c>
      <c r="AC47" s="6"/>
    </row>
    <row r="48">
      <c r="A48" s="4" t="str">
        <f t="shared" si="1"/>
        <v>047</v>
      </c>
      <c r="B48" s="7" t="s">
        <v>237</v>
      </c>
      <c r="C48" s="7" t="s">
        <v>238</v>
      </c>
      <c r="D48" s="7" t="s">
        <v>207</v>
      </c>
      <c r="E48" s="7" t="s">
        <v>208</v>
      </c>
      <c r="F48" s="7" t="s">
        <v>55</v>
      </c>
      <c r="G48" s="7" t="s">
        <v>166</v>
      </c>
      <c r="H48" s="7" t="s">
        <v>115</v>
      </c>
      <c r="I48" s="7" t="s">
        <v>35</v>
      </c>
      <c r="J48" s="7" t="s">
        <v>67</v>
      </c>
      <c r="K48" s="7" t="s">
        <v>210</v>
      </c>
      <c r="L48" s="7" t="s">
        <v>227</v>
      </c>
      <c r="M48" s="7">
        <v>716000.0</v>
      </c>
      <c r="N48" s="7" t="s">
        <v>39</v>
      </c>
      <c r="O48" s="7" t="s">
        <v>58</v>
      </c>
      <c r="P48" s="7" t="s">
        <v>69</v>
      </c>
      <c r="Q48" s="7" t="s">
        <v>42</v>
      </c>
      <c r="R48" s="7" t="s">
        <v>223</v>
      </c>
      <c r="S48" s="7" t="s">
        <v>108</v>
      </c>
      <c r="T48" s="7" t="s">
        <v>45</v>
      </c>
      <c r="U48" s="7" t="s">
        <v>58</v>
      </c>
      <c r="V48" s="7" t="s">
        <v>213</v>
      </c>
      <c r="W48" s="7" t="s">
        <v>214</v>
      </c>
      <c r="X48" s="7" t="s">
        <v>48</v>
      </c>
      <c r="Y48" s="7" t="s">
        <v>172</v>
      </c>
      <c r="Z48" s="7" t="s">
        <v>215</v>
      </c>
      <c r="AA48" s="7" t="s">
        <v>216</v>
      </c>
      <c r="AB48" s="7" t="s">
        <v>224</v>
      </c>
      <c r="AC48" s="6"/>
    </row>
    <row r="49">
      <c r="A49" s="4" t="str">
        <f t="shared" si="1"/>
        <v>048</v>
      </c>
      <c r="B49" s="7" t="s">
        <v>239</v>
      </c>
      <c r="C49" s="7" t="s">
        <v>240</v>
      </c>
      <c r="D49" s="7" t="s">
        <v>207</v>
      </c>
      <c r="E49" s="7" t="s">
        <v>208</v>
      </c>
      <c r="F49" s="7" t="s">
        <v>32</v>
      </c>
      <c r="G49" s="7" t="s">
        <v>166</v>
      </c>
      <c r="H49" s="7" t="s">
        <v>115</v>
      </c>
      <c r="I49" s="7" t="s">
        <v>66</v>
      </c>
      <c r="J49" s="7" t="s">
        <v>209</v>
      </c>
      <c r="K49" s="7" t="s">
        <v>210</v>
      </c>
      <c r="L49" s="7" t="s">
        <v>227</v>
      </c>
      <c r="M49" s="7">
        <v>790000.0</v>
      </c>
      <c r="N49" s="7" t="s">
        <v>39</v>
      </c>
      <c r="O49" s="7" t="s">
        <v>58</v>
      </c>
      <c r="P49" s="7" t="s">
        <v>69</v>
      </c>
      <c r="Q49" s="7" t="s">
        <v>42</v>
      </c>
      <c r="R49" s="7" t="s">
        <v>183</v>
      </c>
      <c r="S49" s="7" t="s">
        <v>99</v>
      </c>
      <c r="T49" s="7" t="s">
        <v>124</v>
      </c>
      <c r="U49" s="7" t="s">
        <v>125</v>
      </c>
      <c r="V49" s="7" t="s">
        <v>213</v>
      </c>
      <c r="W49" s="7" t="s">
        <v>214</v>
      </c>
      <c r="X49" s="7" t="s">
        <v>48</v>
      </c>
      <c r="Y49" s="7" t="s">
        <v>172</v>
      </c>
      <c r="Z49" s="7" t="s">
        <v>215</v>
      </c>
      <c r="AA49" s="7" t="s">
        <v>216</v>
      </c>
      <c r="AB49" s="7" t="s">
        <v>133</v>
      </c>
      <c r="AC49" s="6"/>
    </row>
    <row r="50">
      <c r="A50" s="4" t="str">
        <f t="shared" si="1"/>
        <v>049</v>
      </c>
      <c r="B50" s="7" t="s">
        <v>241</v>
      </c>
      <c r="C50" s="7" t="s">
        <v>242</v>
      </c>
      <c r="D50" s="7" t="s">
        <v>207</v>
      </c>
      <c r="E50" s="7" t="s">
        <v>208</v>
      </c>
      <c r="F50" s="7" t="s">
        <v>32</v>
      </c>
      <c r="G50" s="7" t="s">
        <v>74</v>
      </c>
      <c r="H50" s="7" t="s">
        <v>115</v>
      </c>
      <c r="I50" s="7" t="s">
        <v>83</v>
      </c>
      <c r="J50" s="7" t="s">
        <v>209</v>
      </c>
      <c r="K50" s="7" t="s">
        <v>210</v>
      </c>
      <c r="L50" s="7" t="s">
        <v>68</v>
      </c>
      <c r="M50" s="7">
        <v>382000.0</v>
      </c>
      <c r="N50" s="7" t="s">
        <v>39</v>
      </c>
      <c r="O50" s="7" t="s">
        <v>58</v>
      </c>
      <c r="P50" s="7" t="s">
        <v>41</v>
      </c>
      <c r="Q50" s="7" t="s">
        <v>42</v>
      </c>
      <c r="R50" s="7" t="s">
        <v>223</v>
      </c>
      <c r="S50" s="7" t="s">
        <v>57</v>
      </c>
      <c r="T50" s="7" t="s">
        <v>45</v>
      </c>
      <c r="U50" s="7" t="s">
        <v>125</v>
      </c>
      <c r="V50" s="7" t="s">
        <v>213</v>
      </c>
      <c r="W50" s="7" t="s">
        <v>214</v>
      </c>
      <c r="X50" s="7" t="s">
        <v>48</v>
      </c>
      <c r="Y50" s="7" t="s">
        <v>172</v>
      </c>
      <c r="Z50" s="7" t="s">
        <v>215</v>
      </c>
      <c r="AA50" s="7" t="s">
        <v>216</v>
      </c>
      <c r="AB50" s="7" t="s">
        <v>133</v>
      </c>
      <c r="AC50" s="6"/>
    </row>
    <row r="51">
      <c r="A51" s="4" t="str">
        <f t="shared" si="1"/>
        <v>050</v>
      </c>
      <c r="B51" s="7" t="s">
        <v>243</v>
      </c>
      <c r="C51" s="7" t="s">
        <v>244</v>
      </c>
      <c r="D51" s="7" t="s">
        <v>207</v>
      </c>
      <c r="E51" s="7" t="s">
        <v>208</v>
      </c>
      <c r="F51" s="7" t="s">
        <v>98</v>
      </c>
      <c r="G51" s="7" t="s">
        <v>74</v>
      </c>
      <c r="H51" s="7" t="s">
        <v>115</v>
      </c>
      <c r="I51" s="7" t="s">
        <v>66</v>
      </c>
      <c r="J51" s="7" t="s">
        <v>219</v>
      </c>
      <c r="K51" s="7" t="s">
        <v>210</v>
      </c>
      <c r="L51" s="7" t="s">
        <v>68</v>
      </c>
      <c r="M51" s="7">
        <v>720000.0</v>
      </c>
      <c r="N51" s="7" t="s">
        <v>39</v>
      </c>
      <c r="O51" s="7" t="s">
        <v>58</v>
      </c>
      <c r="P51" s="7" t="s">
        <v>69</v>
      </c>
      <c r="Q51" s="7" t="s">
        <v>42</v>
      </c>
      <c r="R51" s="7" t="s">
        <v>212</v>
      </c>
      <c r="S51" s="7" t="s">
        <v>44</v>
      </c>
      <c r="T51" s="7" t="s">
        <v>78</v>
      </c>
      <c r="U51" s="7" t="s">
        <v>125</v>
      </c>
      <c r="V51" s="7" t="s">
        <v>213</v>
      </c>
      <c r="W51" s="7" t="s">
        <v>214</v>
      </c>
      <c r="X51" s="7" t="s">
        <v>48</v>
      </c>
      <c r="Y51" s="7" t="s">
        <v>172</v>
      </c>
      <c r="Z51" s="7" t="s">
        <v>215</v>
      </c>
      <c r="AA51" s="7" t="s">
        <v>216</v>
      </c>
      <c r="AB51" s="7" t="s">
        <v>224</v>
      </c>
      <c r="AC51" s="6"/>
    </row>
    <row r="52">
      <c r="A52" s="4" t="str">
        <f t="shared" si="1"/>
        <v>051</v>
      </c>
      <c r="B52" s="7" t="s">
        <v>245</v>
      </c>
      <c r="C52" s="7" t="s">
        <v>246</v>
      </c>
      <c r="D52" s="7" t="s">
        <v>247</v>
      </c>
      <c r="E52" s="7" t="s">
        <v>248</v>
      </c>
      <c r="F52" s="7" t="s">
        <v>32</v>
      </c>
      <c r="G52" s="7" t="s">
        <v>33</v>
      </c>
      <c r="H52" s="7" t="s">
        <v>115</v>
      </c>
      <c r="I52" s="7" t="s">
        <v>66</v>
      </c>
      <c r="J52" s="7" t="s">
        <v>67</v>
      </c>
      <c r="K52" s="7" t="s">
        <v>249</v>
      </c>
      <c r="L52" s="7" t="s">
        <v>227</v>
      </c>
      <c r="M52" s="7">
        <v>924000.0</v>
      </c>
      <c r="N52" s="7" t="s">
        <v>39</v>
      </c>
      <c r="O52" s="7" t="s">
        <v>58</v>
      </c>
      <c r="P52" s="7" t="s">
        <v>69</v>
      </c>
      <c r="Q52" s="7" t="s">
        <v>42</v>
      </c>
      <c r="R52" s="7" t="s">
        <v>250</v>
      </c>
      <c r="S52" s="7" t="s">
        <v>44</v>
      </c>
      <c r="T52" s="7" t="s">
        <v>45</v>
      </c>
      <c r="U52" s="7" t="s">
        <v>40</v>
      </c>
      <c r="V52" s="7" t="s">
        <v>251</v>
      </c>
      <c r="W52" s="7" t="s">
        <v>214</v>
      </c>
      <c r="X52" s="7" t="s">
        <v>48</v>
      </c>
      <c r="Y52" s="7" t="s">
        <v>172</v>
      </c>
      <c r="Z52" s="7" t="s">
        <v>215</v>
      </c>
      <c r="AA52" s="7" t="s">
        <v>252</v>
      </c>
      <c r="AB52" s="7" t="s">
        <v>253</v>
      </c>
      <c r="AC52" s="6"/>
    </row>
    <row r="53">
      <c r="A53" s="4" t="str">
        <f t="shared" si="1"/>
        <v>052</v>
      </c>
      <c r="B53" s="7" t="s">
        <v>254</v>
      </c>
      <c r="C53" s="7" t="s">
        <v>255</v>
      </c>
      <c r="D53" s="7" t="s">
        <v>247</v>
      </c>
      <c r="E53" s="7" t="s">
        <v>248</v>
      </c>
      <c r="F53" s="7" t="s">
        <v>98</v>
      </c>
      <c r="G53" s="7" t="s">
        <v>33</v>
      </c>
      <c r="H53" s="7" t="s">
        <v>115</v>
      </c>
      <c r="I53" s="7" t="s">
        <v>35</v>
      </c>
      <c r="J53" s="7" t="s">
        <v>219</v>
      </c>
      <c r="K53" s="7" t="s">
        <v>249</v>
      </c>
      <c r="L53" s="7" t="s">
        <v>211</v>
      </c>
      <c r="M53" s="7">
        <v>544000.0</v>
      </c>
      <c r="N53" s="7" t="s">
        <v>39</v>
      </c>
      <c r="O53" s="7" t="s">
        <v>40</v>
      </c>
      <c r="P53" s="7" t="s">
        <v>41</v>
      </c>
      <c r="Q53" s="7" t="s">
        <v>42</v>
      </c>
      <c r="R53" s="7" t="s">
        <v>212</v>
      </c>
      <c r="S53" s="7" t="s">
        <v>147</v>
      </c>
      <c r="T53" s="7" t="s">
        <v>78</v>
      </c>
      <c r="U53" s="7" t="s">
        <v>125</v>
      </c>
      <c r="V53" s="7" t="s">
        <v>251</v>
      </c>
      <c r="W53" s="7" t="s">
        <v>214</v>
      </c>
      <c r="X53" s="7" t="s">
        <v>48</v>
      </c>
      <c r="Y53" s="7" t="s">
        <v>172</v>
      </c>
      <c r="Z53" s="7" t="s">
        <v>215</v>
      </c>
      <c r="AA53" s="7" t="s">
        <v>252</v>
      </c>
      <c r="AB53" s="7" t="s">
        <v>256</v>
      </c>
      <c r="AC53" s="6"/>
    </row>
    <row r="54">
      <c r="A54" s="4" t="str">
        <f t="shared" si="1"/>
        <v>053</v>
      </c>
      <c r="B54" s="7" t="s">
        <v>257</v>
      </c>
      <c r="C54" s="7" t="s">
        <v>258</v>
      </c>
      <c r="D54" s="7" t="s">
        <v>247</v>
      </c>
      <c r="E54" s="7" t="s">
        <v>248</v>
      </c>
      <c r="F54" s="7" t="s">
        <v>55</v>
      </c>
      <c r="G54" s="7" t="s">
        <v>74</v>
      </c>
      <c r="H54" s="7" t="s">
        <v>115</v>
      </c>
      <c r="I54" s="7" t="s">
        <v>56</v>
      </c>
      <c r="J54" s="7" t="s">
        <v>167</v>
      </c>
      <c r="K54" s="7" t="s">
        <v>249</v>
      </c>
      <c r="L54" s="7" t="s">
        <v>227</v>
      </c>
      <c r="M54" s="7">
        <v>568000.0</v>
      </c>
      <c r="N54" s="7" t="s">
        <v>39</v>
      </c>
      <c r="O54" s="7" t="s">
        <v>40</v>
      </c>
      <c r="P54" s="7" t="s">
        <v>41</v>
      </c>
      <c r="Q54" s="7" t="s">
        <v>42</v>
      </c>
      <c r="R54" s="7" t="s">
        <v>212</v>
      </c>
      <c r="S54" s="7" t="s">
        <v>108</v>
      </c>
      <c r="T54" s="7" t="s">
        <v>45</v>
      </c>
      <c r="U54" s="7" t="s">
        <v>125</v>
      </c>
      <c r="V54" s="7" t="s">
        <v>251</v>
      </c>
      <c r="W54" s="7" t="s">
        <v>214</v>
      </c>
      <c r="X54" s="7" t="s">
        <v>48</v>
      </c>
      <c r="Y54" s="7" t="s">
        <v>172</v>
      </c>
      <c r="Z54" s="7" t="s">
        <v>215</v>
      </c>
      <c r="AA54" s="7" t="s">
        <v>252</v>
      </c>
      <c r="AB54" s="7" t="s">
        <v>253</v>
      </c>
      <c r="AC54" s="6"/>
    </row>
    <row r="55">
      <c r="A55" s="4" t="str">
        <f t="shared" si="1"/>
        <v>054</v>
      </c>
      <c r="B55" s="7" t="s">
        <v>259</v>
      </c>
      <c r="C55" s="7" t="s">
        <v>260</v>
      </c>
      <c r="D55" s="7" t="s">
        <v>247</v>
      </c>
      <c r="E55" s="7" t="s">
        <v>248</v>
      </c>
      <c r="F55" s="7" t="s">
        <v>98</v>
      </c>
      <c r="G55" s="7" t="s">
        <v>166</v>
      </c>
      <c r="H55" s="7" t="s">
        <v>115</v>
      </c>
      <c r="I55" s="7" t="s">
        <v>104</v>
      </c>
      <c r="J55" s="7" t="s">
        <v>167</v>
      </c>
      <c r="K55" s="7" t="s">
        <v>249</v>
      </c>
      <c r="L55" s="7" t="s">
        <v>227</v>
      </c>
      <c r="M55" s="7">
        <v>379000.0</v>
      </c>
      <c r="N55" s="7" t="s">
        <v>39</v>
      </c>
      <c r="O55" s="7" t="s">
        <v>58</v>
      </c>
      <c r="P55" s="7" t="s">
        <v>69</v>
      </c>
      <c r="Q55" s="7" t="s">
        <v>42</v>
      </c>
      <c r="R55" s="7" t="s">
        <v>261</v>
      </c>
      <c r="S55" s="7" t="s">
        <v>232</v>
      </c>
      <c r="T55" s="7" t="s">
        <v>78</v>
      </c>
      <c r="U55" s="7" t="s">
        <v>58</v>
      </c>
      <c r="V55" s="7" t="s">
        <v>251</v>
      </c>
      <c r="W55" s="7" t="s">
        <v>214</v>
      </c>
      <c r="X55" s="7" t="s">
        <v>48</v>
      </c>
      <c r="Y55" s="7" t="s">
        <v>172</v>
      </c>
      <c r="Z55" s="7" t="s">
        <v>95</v>
      </c>
      <c r="AA55" s="7" t="s">
        <v>252</v>
      </c>
      <c r="AB55" s="7" t="s">
        <v>62</v>
      </c>
      <c r="AC55" s="6"/>
    </row>
    <row r="56">
      <c r="A56" s="4" t="str">
        <f t="shared" si="1"/>
        <v>055</v>
      </c>
      <c r="B56" s="7" t="s">
        <v>262</v>
      </c>
      <c r="C56" s="7" t="s">
        <v>263</v>
      </c>
      <c r="D56" s="7" t="s">
        <v>247</v>
      </c>
      <c r="E56" s="7" t="s">
        <v>248</v>
      </c>
      <c r="F56" s="7" t="s">
        <v>32</v>
      </c>
      <c r="G56" s="7" t="s">
        <v>74</v>
      </c>
      <c r="H56" s="7" t="s">
        <v>115</v>
      </c>
      <c r="I56" s="7" t="s">
        <v>75</v>
      </c>
      <c r="J56" s="7" t="s">
        <v>67</v>
      </c>
      <c r="K56" s="7" t="s">
        <v>249</v>
      </c>
      <c r="L56" s="7" t="s">
        <v>227</v>
      </c>
      <c r="M56" s="7">
        <v>689000.0</v>
      </c>
      <c r="N56" s="7" t="s">
        <v>39</v>
      </c>
      <c r="O56" s="7" t="s">
        <v>58</v>
      </c>
      <c r="P56" s="7" t="s">
        <v>69</v>
      </c>
      <c r="Q56" s="7" t="s">
        <v>42</v>
      </c>
      <c r="R56" s="7" t="s">
        <v>261</v>
      </c>
      <c r="S56" s="7" t="s">
        <v>57</v>
      </c>
      <c r="T56" s="7" t="s">
        <v>124</v>
      </c>
      <c r="U56" s="7" t="s">
        <v>58</v>
      </c>
      <c r="V56" s="7" t="s">
        <v>251</v>
      </c>
      <c r="W56" s="7" t="s">
        <v>214</v>
      </c>
      <c r="X56" s="7" t="s">
        <v>48</v>
      </c>
      <c r="Y56" s="7" t="s">
        <v>172</v>
      </c>
      <c r="Z56" s="7" t="s">
        <v>220</v>
      </c>
      <c r="AA56" s="7" t="s">
        <v>252</v>
      </c>
      <c r="AB56" s="7" t="s">
        <v>256</v>
      </c>
      <c r="AC56" s="6"/>
    </row>
    <row r="57">
      <c r="A57" s="4" t="str">
        <f t="shared" si="1"/>
        <v>056</v>
      </c>
      <c r="B57" s="7" t="s">
        <v>264</v>
      </c>
      <c r="C57" s="7" t="s">
        <v>265</v>
      </c>
      <c r="D57" s="7" t="s">
        <v>247</v>
      </c>
      <c r="E57" s="7" t="s">
        <v>248</v>
      </c>
      <c r="F57" s="7" t="s">
        <v>32</v>
      </c>
      <c r="G57" s="7" t="s">
        <v>74</v>
      </c>
      <c r="H57" s="7" t="s">
        <v>115</v>
      </c>
      <c r="I57" s="7" t="s">
        <v>56</v>
      </c>
      <c r="J57" s="7" t="s">
        <v>209</v>
      </c>
      <c r="K57" s="7" t="s">
        <v>249</v>
      </c>
      <c r="L57" s="7" t="s">
        <v>227</v>
      </c>
      <c r="M57" s="7">
        <v>455000.0</v>
      </c>
      <c r="N57" s="7" t="s">
        <v>266</v>
      </c>
      <c r="O57" s="7" t="s">
        <v>40</v>
      </c>
      <c r="P57" s="7" t="s">
        <v>69</v>
      </c>
      <c r="Q57" s="7" t="s">
        <v>42</v>
      </c>
      <c r="R57" s="7" t="s">
        <v>250</v>
      </c>
      <c r="S57" s="7" t="s">
        <v>267</v>
      </c>
      <c r="T57" s="7" t="s">
        <v>45</v>
      </c>
      <c r="U57" s="7" t="s">
        <v>125</v>
      </c>
      <c r="V57" s="7" t="s">
        <v>268</v>
      </c>
      <c r="W57" s="7" t="s">
        <v>214</v>
      </c>
      <c r="X57" s="7" t="s">
        <v>48</v>
      </c>
      <c r="Y57" s="7" t="s">
        <v>172</v>
      </c>
      <c r="Z57" s="7" t="s">
        <v>95</v>
      </c>
      <c r="AA57" s="7" t="s">
        <v>252</v>
      </c>
      <c r="AB57" s="7" t="s">
        <v>62</v>
      </c>
      <c r="AC57" s="6"/>
    </row>
    <row r="58">
      <c r="A58" s="4" t="str">
        <f t="shared" si="1"/>
        <v>057</v>
      </c>
      <c r="B58" s="7" t="s">
        <v>269</v>
      </c>
      <c r="C58" s="7" t="s">
        <v>270</v>
      </c>
      <c r="D58" s="7" t="s">
        <v>247</v>
      </c>
      <c r="E58" s="7" t="s">
        <v>248</v>
      </c>
      <c r="F58" s="7" t="s">
        <v>32</v>
      </c>
      <c r="G58" s="7" t="s">
        <v>166</v>
      </c>
      <c r="H58" s="7" t="s">
        <v>115</v>
      </c>
      <c r="I58" s="7" t="s">
        <v>75</v>
      </c>
      <c r="J58" s="7" t="s">
        <v>209</v>
      </c>
      <c r="K58" s="7" t="s">
        <v>249</v>
      </c>
      <c r="L58" s="7" t="s">
        <v>227</v>
      </c>
      <c r="M58" s="7">
        <v>399000.0</v>
      </c>
      <c r="N58" s="7" t="s">
        <v>266</v>
      </c>
      <c r="O58" s="7" t="s">
        <v>58</v>
      </c>
      <c r="P58" s="7" t="s">
        <v>69</v>
      </c>
      <c r="Q58" s="7" t="s">
        <v>42</v>
      </c>
      <c r="R58" s="7" t="s">
        <v>250</v>
      </c>
      <c r="S58" s="7" t="s">
        <v>57</v>
      </c>
      <c r="T58" s="7" t="s">
        <v>45</v>
      </c>
      <c r="U58" s="7" t="s">
        <v>58</v>
      </c>
      <c r="V58" s="7" t="s">
        <v>271</v>
      </c>
      <c r="W58" s="7" t="s">
        <v>214</v>
      </c>
      <c r="X58" s="7" t="s">
        <v>48</v>
      </c>
      <c r="Y58" s="7" t="s">
        <v>172</v>
      </c>
      <c r="Z58" s="7" t="s">
        <v>220</v>
      </c>
      <c r="AA58" s="7" t="s">
        <v>252</v>
      </c>
      <c r="AB58" s="7" t="s">
        <v>253</v>
      </c>
      <c r="AC58" s="6"/>
    </row>
    <row r="59">
      <c r="A59" s="4" t="str">
        <f t="shared" si="1"/>
        <v>058</v>
      </c>
      <c r="B59" s="7" t="s">
        <v>272</v>
      </c>
      <c r="C59" s="7" t="s">
        <v>273</v>
      </c>
      <c r="D59" s="7" t="s">
        <v>247</v>
      </c>
      <c r="E59" s="7" t="s">
        <v>248</v>
      </c>
      <c r="F59" s="7" t="s">
        <v>98</v>
      </c>
      <c r="G59" s="7" t="s">
        <v>74</v>
      </c>
      <c r="H59" s="7" t="s">
        <v>115</v>
      </c>
      <c r="I59" s="7" t="s">
        <v>66</v>
      </c>
      <c r="J59" s="7" t="s">
        <v>67</v>
      </c>
      <c r="K59" s="7" t="s">
        <v>249</v>
      </c>
      <c r="L59" s="7" t="s">
        <v>227</v>
      </c>
      <c r="M59" s="7">
        <v>277000.0</v>
      </c>
      <c r="N59" s="7" t="s">
        <v>266</v>
      </c>
      <c r="O59" s="7" t="s">
        <v>58</v>
      </c>
      <c r="P59" s="7" t="s">
        <v>41</v>
      </c>
      <c r="Q59" s="7" t="s">
        <v>42</v>
      </c>
      <c r="R59" s="7" t="s">
        <v>250</v>
      </c>
      <c r="S59" s="7" t="s">
        <v>44</v>
      </c>
      <c r="T59" s="7" t="s">
        <v>45</v>
      </c>
      <c r="U59" s="7" t="s">
        <v>125</v>
      </c>
      <c r="V59" s="7" t="s">
        <v>251</v>
      </c>
      <c r="W59" s="7" t="s">
        <v>214</v>
      </c>
      <c r="X59" s="7" t="s">
        <v>48</v>
      </c>
      <c r="Y59" s="7" t="s">
        <v>172</v>
      </c>
      <c r="Z59" s="7" t="s">
        <v>220</v>
      </c>
      <c r="AA59" s="7" t="s">
        <v>252</v>
      </c>
      <c r="AB59" s="7" t="s">
        <v>253</v>
      </c>
      <c r="AC59" s="6"/>
    </row>
    <row r="60">
      <c r="A60" s="4" t="str">
        <f t="shared" si="1"/>
        <v>059</v>
      </c>
      <c r="B60" s="7" t="s">
        <v>274</v>
      </c>
      <c r="C60" s="7" t="s">
        <v>275</v>
      </c>
      <c r="D60" s="7" t="s">
        <v>247</v>
      </c>
      <c r="E60" s="7" t="s">
        <v>248</v>
      </c>
      <c r="F60" s="7" t="s">
        <v>98</v>
      </c>
      <c r="G60" s="7" t="s">
        <v>166</v>
      </c>
      <c r="H60" s="7" t="s">
        <v>115</v>
      </c>
      <c r="I60" s="7" t="s">
        <v>83</v>
      </c>
      <c r="J60" s="7" t="s">
        <v>167</v>
      </c>
      <c r="K60" s="7" t="s">
        <v>249</v>
      </c>
      <c r="L60" s="7" t="s">
        <v>227</v>
      </c>
      <c r="M60" s="7">
        <v>785000.0</v>
      </c>
      <c r="N60" s="7" t="s">
        <v>39</v>
      </c>
      <c r="O60" s="7" t="s">
        <v>40</v>
      </c>
      <c r="P60" s="7" t="s">
        <v>41</v>
      </c>
      <c r="Q60" s="7" t="s">
        <v>42</v>
      </c>
      <c r="R60" s="7" t="s">
        <v>212</v>
      </c>
      <c r="S60" s="7" t="s">
        <v>71</v>
      </c>
      <c r="T60" s="7" t="s">
        <v>45</v>
      </c>
      <c r="U60" s="7" t="s">
        <v>40</v>
      </c>
      <c r="V60" s="7" t="s">
        <v>251</v>
      </c>
      <c r="W60" s="7" t="s">
        <v>214</v>
      </c>
      <c r="X60" s="7" t="s">
        <v>48</v>
      </c>
      <c r="Y60" s="7" t="s">
        <v>172</v>
      </c>
      <c r="Z60" s="7" t="s">
        <v>220</v>
      </c>
      <c r="AA60" s="7" t="s">
        <v>252</v>
      </c>
      <c r="AB60" s="7" t="s">
        <v>256</v>
      </c>
      <c r="AC60" s="6"/>
    </row>
    <row r="61">
      <c r="A61" s="4" t="str">
        <f t="shared" si="1"/>
        <v>060</v>
      </c>
      <c r="B61" s="7" t="s">
        <v>276</v>
      </c>
      <c r="C61" s="7" t="s">
        <v>277</v>
      </c>
      <c r="D61" s="7" t="s">
        <v>278</v>
      </c>
      <c r="E61" s="7" t="s">
        <v>279</v>
      </c>
      <c r="F61" s="7" t="s">
        <v>32</v>
      </c>
      <c r="G61" s="7" t="s">
        <v>166</v>
      </c>
      <c r="H61" s="7" t="s">
        <v>115</v>
      </c>
      <c r="I61" s="7" t="s">
        <v>56</v>
      </c>
      <c r="J61" s="7" t="s">
        <v>219</v>
      </c>
      <c r="K61" s="7" t="s">
        <v>280</v>
      </c>
      <c r="L61" s="7" t="s">
        <v>281</v>
      </c>
      <c r="M61" s="7">
        <v>180000.0</v>
      </c>
      <c r="N61" s="7" t="s">
        <v>122</v>
      </c>
      <c r="O61" s="7" t="s">
        <v>282</v>
      </c>
      <c r="P61" s="7" t="s">
        <v>189</v>
      </c>
      <c r="Q61" s="7" t="s">
        <v>42</v>
      </c>
      <c r="R61" s="7" t="s">
        <v>283</v>
      </c>
      <c r="S61" s="7" t="s">
        <v>170</v>
      </c>
      <c r="T61" s="7" t="s">
        <v>78</v>
      </c>
      <c r="U61" s="7" t="s">
        <v>125</v>
      </c>
      <c r="V61" s="7" t="s">
        <v>284</v>
      </c>
      <c r="W61" s="7" t="s">
        <v>285</v>
      </c>
      <c r="X61" s="7" t="s">
        <v>48</v>
      </c>
      <c r="Y61" s="7" t="s">
        <v>172</v>
      </c>
      <c r="Z61" s="7" t="s">
        <v>95</v>
      </c>
      <c r="AA61" s="7" t="s">
        <v>286</v>
      </c>
      <c r="AB61" s="7" t="s">
        <v>287</v>
      </c>
      <c r="AC61" s="6"/>
    </row>
    <row r="62">
      <c r="A62" s="4" t="str">
        <f t="shared" si="1"/>
        <v>061</v>
      </c>
      <c r="B62" s="7" t="s">
        <v>288</v>
      </c>
      <c r="C62" s="7" t="s">
        <v>289</v>
      </c>
      <c r="D62" s="7" t="s">
        <v>278</v>
      </c>
      <c r="E62" s="7" t="s">
        <v>279</v>
      </c>
      <c r="F62" s="7" t="s">
        <v>32</v>
      </c>
      <c r="G62" s="7" t="s">
        <v>166</v>
      </c>
      <c r="H62" s="7" t="s">
        <v>115</v>
      </c>
      <c r="I62" s="7" t="s">
        <v>35</v>
      </c>
      <c r="J62" s="7" t="s">
        <v>219</v>
      </c>
      <c r="K62" s="7" t="s">
        <v>280</v>
      </c>
      <c r="L62" s="7" t="s">
        <v>227</v>
      </c>
      <c r="M62" s="7">
        <v>254000.0</v>
      </c>
      <c r="N62" s="7" t="s">
        <v>122</v>
      </c>
      <c r="O62" s="7" t="s">
        <v>282</v>
      </c>
      <c r="P62" s="7" t="s">
        <v>189</v>
      </c>
      <c r="Q62" s="7" t="s">
        <v>42</v>
      </c>
      <c r="R62" s="7" t="s">
        <v>290</v>
      </c>
      <c r="S62" s="7" t="s">
        <v>57</v>
      </c>
      <c r="T62" s="7" t="s">
        <v>78</v>
      </c>
      <c r="U62" s="7" t="s">
        <v>125</v>
      </c>
      <c r="V62" s="7" t="s">
        <v>284</v>
      </c>
      <c r="W62" s="7" t="s">
        <v>285</v>
      </c>
      <c r="X62" s="7" t="s">
        <v>48</v>
      </c>
      <c r="Y62" s="7" t="s">
        <v>291</v>
      </c>
      <c r="Z62" s="7" t="s">
        <v>95</v>
      </c>
      <c r="AA62" s="7" t="s">
        <v>286</v>
      </c>
      <c r="AB62" s="7" t="s">
        <v>287</v>
      </c>
      <c r="AC62" s="6"/>
    </row>
    <row r="63">
      <c r="A63" s="4" t="str">
        <f t="shared" si="1"/>
        <v>062</v>
      </c>
      <c r="B63" s="7" t="s">
        <v>292</v>
      </c>
      <c r="C63" s="7" t="s">
        <v>293</v>
      </c>
      <c r="D63" s="7" t="s">
        <v>278</v>
      </c>
      <c r="E63" s="7" t="s">
        <v>279</v>
      </c>
      <c r="F63" s="7" t="s">
        <v>294</v>
      </c>
      <c r="G63" s="7" t="s">
        <v>166</v>
      </c>
      <c r="H63" s="7" t="s">
        <v>115</v>
      </c>
      <c r="I63" s="7" t="s">
        <v>104</v>
      </c>
      <c r="J63" s="7" t="s">
        <v>219</v>
      </c>
      <c r="K63" s="7" t="s">
        <v>280</v>
      </c>
      <c r="L63" s="7" t="s">
        <v>281</v>
      </c>
      <c r="M63" s="7">
        <v>333000.0</v>
      </c>
      <c r="N63" s="7" t="s">
        <v>122</v>
      </c>
      <c r="O63" s="7" t="s">
        <v>58</v>
      </c>
      <c r="P63" s="7" t="s">
        <v>41</v>
      </c>
      <c r="Q63" s="7" t="s">
        <v>42</v>
      </c>
      <c r="R63" s="7" t="s">
        <v>290</v>
      </c>
      <c r="S63" s="7" t="s">
        <v>99</v>
      </c>
      <c r="T63" s="7" t="s">
        <v>124</v>
      </c>
      <c r="U63" s="7" t="s">
        <v>125</v>
      </c>
      <c r="V63" s="7" t="s">
        <v>284</v>
      </c>
      <c r="W63" s="7" t="s">
        <v>285</v>
      </c>
      <c r="X63" s="7" t="s">
        <v>48</v>
      </c>
      <c r="Y63" s="7" t="s">
        <v>172</v>
      </c>
      <c r="Z63" s="7" t="s">
        <v>215</v>
      </c>
      <c r="AA63" s="7" t="s">
        <v>286</v>
      </c>
      <c r="AB63" s="7" t="s">
        <v>62</v>
      </c>
      <c r="AC63" s="6"/>
    </row>
    <row r="64">
      <c r="A64" s="4" t="str">
        <f t="shared" si="1"/>
        <v>063</v>
      </c>
      <c r="B64" s="7" t="s">
        <v>295</v>
      </c>
      <c r="C64" s="7" t="s">
        <v>296</v>
      </c>
      <c r="D64" s="7" t="s">
        <v>278</v>
      </c>
      <c r="E64" s="7" t="s">
        <v>279</v>
      </c>
      <c r="F64" s="7" t="s">
        <v>32</v>
      </c>
      <c r="G64" s="7" t="s">
        <v>166</v>
      </c>
      <c r="H64" s="7" t="s">
        <v>115</v>
      </c>
      <c r="I64" s="7" t="s">
        <v>56</v>
      </c>
      <c r="J64" s="7" t="s">
        <v>36</v>
      </c>
      <c r="K64" s="7" t="s">
        <v>280</v>
      </c>
      <c r="L64" s="7" t="s">
        <v>227</v>
      </c>
      <c r="M64" s="7">
        <v>336000.0</v>
      </c>
      <c r="N64" s="7" t="s">
        <v>122</v>
      </c>
      <c r="O64" s="7" t="s">
        <v>282</v>
      </c>
      <c r="P64" s="7" t="s">
        <v>189</v>
      </c>
      <c r="Q64" s="7" t="s">
        <v>42</v>
      </c>
      <c r="R64" s="7" t="s">
        <v>297</v>
      </c>
      <c r="S64" s="7" t="s">
        <v>57</v>
      </c>
      <c r="T64" s="7" t="s">
        <v>45</v>
      </c>
      <c r="U64" s="7" t="s">
        <v>125</v>
      </c>
      <c r="V64" s="7" t="s">
        <v>284</v>
      </c>
      <c r="W64" s="7" t="s">
        <v>285</v>
      </c>
      <c r="X64" s="7" t="s">
        <v>48</v>
      </c>
      <c r="Y64" s="7" t="s">
        <v>291</v>
      </c>
      <c r="Z64" s="7" t="s">
        <v>215</v>
      </c>
      <c r="AA64" s="7" t="s">
        <v>286</v>
      </c>
      <c r="AB64" s="7" t="s">
        <v>62</v>
      </c>
      <c r="AC64" s="6"/>
    </row>
    <row r="65">
      <c r="A65" s="4" t="str">
        <f t="shared" si="1"/>
        <v>064</v>
      </c>
      <c r="B65" s="7" t="s">
        <v>298</v>
      </c>
      <c r="C65" s="7" t="s">
        <v>299</v>
      </c>
      <c r="D65" s="7" t="s">
        <v>278</v>
      </c>
      <c r="E65" s="7" t="s">
        <v>279</v>
      </c>
      <c r="F65" s="7" t="s">
        <v>32</v>
      </c>
      <c r="G65" s="7" t="s">
        <v>166</v>
      </c>
      <c r="H65" s="7" t="s">
        <v>115</v>
      </c>
      <c r="I65" s="7" t="s">
        <v>35</v>
      </c>
      <c r="J65" s="7" t="s">
        <v>167</v>
      </c>
      <c r="K65" s="7" t="s">
        <v>280</v>
      </c>
      <c r="L65" s="7" t="s">
        <v>281</v>
      </c>
      <c r="M65" s="7">
        <v>256000.0</v>
      </c>
      <c r="N65" s="7" t="s">
        <v>122</v>
      </c>
      <c r="O65" s="7" t="s">
        <v>58</v>
      </c>
      <c r="P65" s="7" t="s">
        <v>189</v>
      </c>
      <c r="Q65" s="7" t="s">
        <v>42</v>
      </c>
      <c r="R65" s="7" t="s">
        <v>283</v>
      </c>
      <c r="S65" s="7" t="s">
        <v>57</v>
      </c>
      <c r="T65" s="7" t="s">
        <v>45</v>
      </c>
      <c r="U65" s="7" t="s">
        <v>125</v>
      </c>
      <c r="V65" s="7" t="s">
        <v>284</v>
      </c>
      <c r="W65" s="7" t="s">
        <v>285</v>
      </c>
      <c r="X65" s="7" t="s">
        <v>48</v>
      </c>
      <c r="Y65" s="7" t="s">
        <v>291</v>
      </c>
      <c r="Z65" s="7" t="s">
        <v>215</v>
      </c>
      <c r="AA65" s="7" t="s">
        <v>286</v>
      </c>
      <c r="AB65" s="7" t="s">
        <v>133</v>
      </c>
      <c r="AC65" s="6"/>
    </row>
    <row r="66">
      <c r="A66" s="4" t="str">
        <f t="shared" si="1"/>
        <v>065</v>
      </c>
      <c r="B66" s="7" t="s">
        <v>300</v>
      </c>
      <c r="C66" s="7" t="s">
        <v>301</v>
      </c>
      <c r="D66" s="7" t="s">
        <v>278</v>
      </c>
      <c r="E66" s="7" t="s">
        <v>279</v>
      </c>
      <c r="F66" s="7" t="s">
        <v>294</v>
      </c>
      <c r="G66" s="7" t="s">
        <v>166</v>
      </c>
      <c r="H66" s="7" t="s">
        <v>115</v>
      </c>
      <c r="I66" s="7" t="s">
        <v>56</v>
      </c>
      <c r="J66" s="7" t="s">
        <v>167</v>
      </c>
      <c r="K66" s="7" t="s">
        <v>280</v>
      </c>
      <c r="L66" s="7" t="s">
        <v>211</v>
      </c>
      <c r="M66" s="7">
        <v>325000.0</v>
      </c>
      <c r="N66" s="7" t="s">
        <v>122</v>
      </c>
      <c r="O66" s="7" t="s">
        <v>282</v>
      </c>
      <c r="P66" s="7" t="s">
        <v>41</v>
      </c>
      <c r="Q66" s="7" t="s">
        <v>42</v>
      </c>
      <c r="R66" s="7" t="s">
        <v>283</v>
      </c>
      <c r="S66" s="7" t="s">
        <v>77</v>
      </c>
      <c r="T66" s="7" t="s">
        <v>45</v>
      </c>
      <c r="U66" s="7" t="s">
        <v>125</v>
      </c>
      <c r="V66" s="7" t="s">
        <v>284</v>
      </c>
      <c r="W66" s="7" t="s">
        <v>285</v>
      </c>
      <c r="X66" s="7" t="s">
        <v>48</v>
      </c>
      <c r="Y66" s="7" t="s">
        <v>291</v>
      </c>
      <c r="Z66" s="7" t="s">
        <v>215</v>
      </c>
      <c r="AA66" s="7" t="s">
        <v>286</v>
      </c>
      <c r="AB66" s="7" t="s">
        <v>62</v>
      </c>
      <c r="AC66" s="6"/>
    </row>
    <row r="67">
      <c r="A67" s="4" t="str">
        <f t="shared" si="1"/>
        <v>066</v>
      </c>
      <c r="B67" s="7" t="s">
        <v>302</v>
      </c>
      <c r="C67" s="7" t="s">
        <v>303</v>
      </c>
      <c r="D67" s="7" t="s">
        <v>278</v>
      </c>
      <c r="E67" s="7" t="s">
        <v>279</v>
      </c>
      <c r="F67" s="7" t="s">
        <v>98</v>
      </c>
      <c r="G67" s="7" t="s">
        <v>166</v>
      </c>
      <c r="H67" s="7" t="s">
        <v>115</v>
      </c>
      <c r="I67" s="7" t="s">
        <v>104</v>
      </c>
      <c r="J67" s="7" t="s">
        <v>219</v>
      </c>
      <c r="K67" s="7" t="s">
        <v>280</v>
      </c>
      <c r="L67" s="7" t="s">
        <v>281</v>
      </c>
      <c r="M67" s="7">
        <v>314000.0</v>
      </c>
      <c r="N67" s="7" t="s">
        <v>122</v>
      </c>
      <c r="O67" s="7" t="s">
        <v>282</v>
      </c>
      <c r="P67" s="7" t="s">
        <v>69</v>
      </c>
      <c r="Q67" s="7" t="s">
        <v>42</v>
      </c>
      <c r="R67" s="7" t="s">
        <v>297</v>
      </c>
      <c r="S67" s="7" t="s">
        <v>108</v>
      </c>
      <c r="T67" s="7" t="s">
        <v>124</v>
      </c>
      <c r="U67" s="7" t="s">
        <v>125</v>
      </c>
      <c r="V67" s="7" t="s">
        <v>284</v>
      </c>
      <c r="W67" s="7" t="s">
        <v>285</v>
      </c>
      <c r="X67" s="7" t="s">
        <v>48</v>
      </c>
      <c r="Y67" s="7" t="s">
        <v>172</v>
      </c>
      <c r="Z67" s="7" t="s">
        <v>215</v>
      </c>
      <c r="AA67" s="7" t="s">
        <v>286</v>
      </c>
      <c r="AB67" s="7" t="s">
        <v>62</v>
      </c>
      <c r="AC67" s="6"/>
    </row>
    <row r="68">
      <c r="A68" s="4" t="str">
        <f t="shared" si="1"/>
        <v>067</v>
      </c>
      <c r="B68" s="7" t="s">
        <v>304</v>
      </c>
      <c r="C68" s="7" t="s">
        <v>305</v>
      </c>
      <c r="D68" s="7" t="s">
        <v>278</v>
      </c>
      <c r="E68" s="7" t="s">
        <v>279</v>
      </c>
      <c r="F68" s="7" t="s">
        <v>32</v>
      </c>
      <c r="G68" s="7" t="s">
        <v>166</v>
      </c>
      <c r="H68" s="7" t="s">
        <v>115</v>
      </c>
      <c r="I68" s="7" t="s">
        <v>56</v>
      </c>
      <c r="J68" s="7" t="s">
        <v>36</v>
      </c>
      <c r="K68" s="7" t="s">
        <v>280</v>
      </c>
      <c r="L68" s="7" t="s">
        <v>281</v>
      </c>
      <c r="M68" s="7">
        <v>233000.0</v>
      </c>
      <c r="N68" s="7" t="s">
        <v>122</v>
      </c>
      <c r="O68" s="7" t="s">
        <v>282</v>
      </c>
      <c r="P68" s="7" t="s">
        <v>189</v>
      </c>
      <c r="Q68" s="7" t="s">
        <v>42</v>
      </c>
      <c r="R68" s="7" t="s">
        <v>290</v>
      </c>
      <c r="S68" s="7" t="s">
        <v>143</v>
      </c>
      <c r="T68" s="7" t="s">
        <v>45</v>
      </c>
      <c r="U68" s="7" t="s">
        <v>125</v>
      </c>
      <c r="V68" s="7" t="s">
        <v>284</v>
      </c>
      <c r="W68" s="7" t="s">
        <v>285</v>
      </c>
      <c r="X68" s="7" t="s">
        <v>48</v>
      </c>
      <c r="Y68" s="7" t="s">
        <v>172</v>
      </c>
      <c r="Z68" s="7" t="s">
        <v>215</v>
      </c>
      <c r="AA68" s="7" t="s">
        <v>286</v>
      </c>
      <c r="AB68" s="7" t="s">
        <v>133</v>
      </c>
      <c r="AC68" s="6"/>
    </row>
    <row r="69">
      <c r="A69" s="4" t="str">
        <f t="shared" si="1"/>
        <v>068</v>
      </c>
      <c r="B69" s="7" t="s">
        <v>306</v>
      </c>
      <c r="C69" s="7" t="s">
        <v>307</v>
      </c>
      <c r="D69" s="7" t="s">
        <v>278</v>
      </c>
      <c r="E69" s="7" t="s">
        <v>279</v>
      </c>
      <c r="F69" s="7" t="s">
        <v>32</v>
      </c>
      <c r="G69" s="7" t="s">
        <v>166</v>
      </c>
      <c r="H69" s="7" t="s">
        <v>115</v>
      </c>
      <c r="I69" s="7" t="s">
        <v>104</v>
      </c>
      <c r="J69" s="7" t="s">
        <v>219</v>
      </c>
      <c r="K69" s="7" t="s">
        <v>280</v>
      </c>
      <c r="L69" s="7" t="s">
        <v>281</v>
      </c>
      <c r="M69" s="7">
        <v>269000.0</v>
      </c>
      <c r="N69" s="7" t="s">
        <v>122</v>
      </c>
      <c r="O69" s="7" t="s">
        <v>282</v>
      </c>
      <c r="P69" s="7" t="s">
        <v>189</v>
      </c>
      <c r="Q69" s="7" t="s">
        <v>42</v>
      </c>
      <c r="R69" s="7" t="s">
        <v>290</v>
      </c>
      <c r="S69" s="7" t="s">
        <v>147</v>
      </c>
      <c r="T69" s="7" t="s">
        <v>124</v>
      </c>
      <c r="U69" s="7" t="s">
        <v>125</v>
      </c>
      <c r="V69" s="7" t="s">
        <v>284</v>
      </c>
      <c r="W69" s="7" t="s">
        <v>285</v>
      </c>
      <c r="X69" s="7" t="s">
        <v>48</v>
      </c>
      <c r="Y69" s="7" t="s">
        <v>291</v>
      </c>
      <c r="Z69" s="7" t="s">
        <v>215</v>
      </c>
      <c r="AA69" s="7" t="s">
        <v>286</v>
      </c>
      <c r="AB69" s="7" t="s">
        <v>62</v>
      </c>
      <c r="AC69" s="6"/>
    </row>
    <row r="70">
      <c r="A70" s="4" t="str">
        <f t="shared" si="1"/>
        <v>069</v>
      </c>
      <c r="B70" s="7" t="s">
        <v>308</v>
      </c>
      <c r="C70" s="7" t="s">
        <v>309</v>
      </c>
      <c r="D70" s="7" t="s">
        <v>278</v>
      </c>
      <c r="E70" s="7" t="s">
        <v>279</v>
      </c>
      <c r="F70" s="7" t="s">
        <v>32</v>
      </c>
      <c r="G70" s="7" t="s">
        <v>166</v>
      </c>
      <c r="H70" s="7" t="s">
        <v>115</v>
      </c>
      <c r="I70" s="7" t="s">
        <v>56</v>
      </c>
      <c r="J70" s="7" t="s">
        <v>219</v>
      </c>
      <c r="K70" s="7" t="s">
        <v>280</v>
      </c>
      <c r="L70" s="7" t="s">
        <v>281</v>
      </c>
      <c r="M70" s="7">
        <v>331000.0</v>
      </c>
      <c r="N70" s="7" t="s">
        <v>122</v>
      </c>
      <c r="O70" s="7" t="s">
        <v>282</v>
      </c>
      <c r="P70" s="7" t="s">
        <v>69</v>
      </c>
      <c r="Q70" s="7" t="s">
        <v>42</v>
      </c>
      <c r="R70" s="7" t="s">
        <v>283</v>
      </c>
      <c r="S70" s="7" t="s">
        <v>44</v>
      </c>
      <c r="T70" s="7" t="s">
        <v>45</v>
      </c>
      <c r="U70" s="7" t="s">
        <v>125</v>
      </c>
      <c r="V70" s="7" t="s">
        <v>284</v>
      </c>
      <c r="W70" s="7" t="s">
        <v>285</v>
      </c>
      <c r="X70" s="7" t="s">
        <v>48</v>
      </c>
      <c r="Y70" s="7" t="s">
        <v>291</v>
      </c>
      <c r="Z70" s="7" t="s">
        <v>95</v>
      </c>
      <c r="AA70" s="7" t="s">
        <v>286</v>
      </c>
      <c r="AB70" s="7" t="s">
        <v>287</v>
      </c>
      <c r="AC70" s="6"/>
    </row>
    <row r="71">
      <c r="A71" s="4" t="str">
        <f t="shared" si="1"/>
        <v>070</v>
      </c>
      <c r="B71" s="7" t="s">
        <v>310</v>
      </c>
      <c r="C71" s="7" t="s">
        <v>311</v>
      </c>
      <c r="D71" s="7" t="s">
        <v>278</v>
      </c>
      <c r="E71" s="7" t="s">
        <v>279</v>
      </c>
      <c r="F71" s="7" t="s">
        <v>294</v>
      </c>
      <c r="G71" s="7" t="s">
        <v>166</v>
      </c>
      <c r="H71" s="7" t="s">
        <v>115</v>
      </c>
      <c r="I71" s="7" t="s">
        <v>104</v>
      </c>
      <c r="J71" s="7" t="s">
        <v>219</v>
      </c>
      <c r="K71" s="7" t="s">
        <v>280</v>
      </c>
      <c r="L71" s="7" t="s">
        <v>281</v>
      </c>
      <c r="M71" s="7">
        <v>433000.0</v>
      </c>
      <c r="N71" s="7" t="s">
        <v>122</v>
      </c>
      <c r="O71" s="7" t="s">
        <v>282</v>
      </c>
      <c r="P71" s="7" t="s">
        <v>189</v>
      </c>
      <c r="Q71" s="7" t="s">
        <v>42</v>
      </c>
      <c r="R71" s="7" t="s">
        <v>297</v>
      </c>
      <c r="S71" s="7" t="s">
        <v>71</v>
      </c>
      <c r="T71" s="7" t="s">
        <v>78</v>
      </c>
      <c r="U71" s="7" t="s">
        <v>125</v>
      </c>
      <c r="V71" s="7" t="s">
        <v>284</v>
      </c>
      <c r="W71" s="7" t="s">
        <v>285</v>
      </c>
      <c r="X71" s="7" t="s">
        <v>48</v>
      </c>
      <c r="Y71" s="7" t="s">
        <v>172</v>
      </c>
      <c r="Z71" s="7" t="s">
        <v>95</v>
      </c>
      <c r="AA71" s="7" t="s">
        <v>286</v>
      </c>
      <c r="AB71" s="7" t="s">
        <v>287</v>
      </c>
      <c r="AC71" s="6"/>
    </row>
    <row r="72">
      <c r="A72" s="4" t="str">
        <f t="shared" si="1"/>
        <v>071</v>
      </c>
      <c r="B72" s="7" t="s">
        <v>312</v>
      </c>
      <c r="C72" s="7" t="s">
        <v>313</v>
      </c>
      <c r="D72" s="7" t="s">
        <v>314</v>
      </c>
      <c r="E72" s="7" t="s">
        <v>315</v>
      </c>
      <c r="F72" s="7" t="s">
        <v>32</v>
      </c>
      <c r="G72" s="7" t="s">
        <v>316</v>
      </c>
      <c r="H72" s="7" t="s">
        <v>115</v>
      </c>
      <c r="I72" s="7" t="s">
        <v>75</v>
      </c>
      <c r="J72" s="7" t="s">
        <v>167</v>
      </c>
      <c r="K72" s="7" t="s">
        <v>317</v>
      </c>
      <c r="L72" s="7" t="s">
        <v>318</v>
      </c>
      <c r="M72" s="7">
        <v>489000.0</v>
      </c>
      <c r="N72" s="7" t="s">
        <v>39</v>
      </c>
      <c r="O72" s="7" t="s">
        <v>40</v>
      </c>
      <c r="P72" s="7" t="s">
        <v>189</v>
      </c>
      <c r="Q72" s="7" t="s">
        <v>42</v>
      </c>
      <c r="R72" s="7" t="s">
        <v>319</v>
      </c>
      <c r="S72" s="7" t="s">
        <v>44</v>
      </c>
      <c r="T72" s="7" t="s">
        <v>78</v>
      </c>
      <c r="U72" s="7" t="s">
        <v>40</v>
      </c>
      <c r="V72" s="7" t="s">
        <v>320</v>
      </c>
      <c r="W72" s="7" t="s">
        <v>285</v>
      </c>
      <c r="X72" s="7" t="s">
        <v>321</v>
      </c>
      <c r="Y72" s="7" t="s">
        <v>86</v>
      </c>
      <c r="Z72" s="7" t="s">
        <v>215</v>
      </c>
      <c r="AA72" s="7" t="s">
        <v>322</v>
      </c>
      <c r="AB72" s="7" t="s">
        <v>79</v>
      </c>
      <c r="AC72" s="6"/>
    </row>
    <row r="73">
      <c r="A73" s="4" t="str">
        <f t="shared" si="1"/>
        <v>072</v>
      </c>
      <c r="B73" s="7" t="s">
        <v>323</v>
      </c>
      <c r="C73" s="7" t="s">
        <v>324</v>
      </c>
      <c r="D73" s="7" t="s">
        <v>314</v>
      </c>
      <c r="E73" s="7" t="s">
        <v>315</v>
      </c>
      <c r="F73" s="7" t="s">
        <v>98</v>
      </c>
      <c r="G73" s="7" t="s">
        <v>316</v>
      </c>
      <c r="H73" s="7" t="s">
        <v>34</v>
      </c>
      <c r="I73" s="7" t="s">
        <v>75</v>
      </c>
      <c r="J73" s="7" t="s">
        <v>167</v>
      </c>
      <c r="K73" s="7" t="s">
        <v>317</v>
      </c>
      <c r="L73" s="7" t="s">
        <v>68</v>
      </c>
      <c r="M73" s="7">
        <v>1033000.0</v>
      </c>
      <c r="N73" s="7" t="s">
        <v>39</v>
      </c>
      <c r="O73" s="7" t="s">
        <v>58</v>
      </c>
      <c r="P73" s="7" t="s">
        <v>41</v>
      </c>
      <c r="Q73" s="7" t="s">
        <v>42</v>
      </c>
      <c r="R73" s="7" t="s">
        <v>325</v>
      </c>
      <c r="S73" s="7" t="s">
        <v>147</v>
      </c>
      <c r="T73" s="7" t="s">
        <v>45</v>
      </c>
      <c r="U73" s="7" t="s">
        <v>58</v>
      </c>
      <c r="V73" s="7" t="s">
        <v>320</v>
      </c>
      <c r="W73" s="7" t="s">
        <v>285</v>
      </c>
      <c r="X73" s="7" t="s">
        <v>321</v>
      </c>
      <c r="Y73" s="7" t="s">
        <v>86</v>
      </c>
      <c r="Z73" s="7" t="s">
        <v>220</v>
      </c>
      <c r="AA73" s="7" t="s">
        <v>326</v>
      </c>
      <c r="AB73" s="7" t="s">
        <v>287</v>
      </c>
      <c r="AC73" s="6"/>
    </row>
    <row r="74">
      <c r="A74" s="4" t="str">
        <f t="shared" si="1"/>
        <v>073</v>
      </c>
      <c r="B74" s="7" t="s">
        <v>327</v>
      </c>
      <c r="C74" s="7" t="s">
        <v>328</v>
      </c>
      <c r="D74" s="7" t="s">
        <v>314</v>
      </c>
      <c r="E74" s="7" t="s">
        <v>315</v>
      </c>
      <c r="F74" s="7" t="s">
        <v>98</v>
      </c>
      <c r="G74" s="7" t="s">
        <v>316</v>
      </c>
      <c r="H74" s="7" t="s">
        <v>115</v>
      </c>
      <c r="I74" s="7" t="s">
        <v>104</v>
      </c>
      <c r="J74" s="7" t="s">
        <v>167</v>
      </c>
      <c r="K74" s="7" t="s">
        <v>317</v>
      </c>
      <c r="L74" s="7" t="s">
        <v>318</v>
      </c>
      <c r="M74" s="7">
        <v>866000.0</v>
      </c>
      <c r="N74" s="7" t="s">
        <v>39</v>
      </c>
      <c r="O74" s="7" t="s">
        <v>58</v>
      </c>
      <c r="P74" s="7" t="s">
        <v>168</v>
      </c>
      <c r="Q74" s="7" t="s">
        <v>42</v>
      </c>
      <c r="R74" s="7" t="s">
        <v>319</v>
      </c>
      <c r="S74" s="7" t="s">
        <v>329</v>
      </c>
      <c r="T74" s="7" t="s">
        <v>78</v>
      </c>
      <c r="U74" s="7" t="s">
        <v>58</v>
      </c>
      <c r="V74" s="7" t="s">
        <v>320</v>
      </c>
      <c r="W74" s="7" t="s">
        <v>285</v>
      </c>
      <c r="X74" s="7" t="s">
        <v>321</v>
      </c>
      <c r="Y74" s="7" t="s">
        <v>49</v>
      </c>
      <c r="Z74" s="7" t="s">
        <v>220</v>
      </c>
      <c r="AA74" s="7" t="s">
        <v>326</v>
      </c>
      <c r="AB74" s="7" t="s">
        <v>79</v>
      </c>
      <c r="AC74" s="6"/>
    </row>
    <row r="75">
      <c r="A75" s="4" t="str">
        <f t="shared" si="1"/>
        <v>074</v>
      </c>
      <c r="B75" s="7" t="s">
        <v>330</v>
      </c>
      <c r="C75" s="7" t="s">
        <v>331</v>
      </c>
      <c r="D75" s="7" t="s">
        <v>314</v>
      </c>
      <c r="E75" s="7" t="s">
        <v>315</v>
      </c>
      <c r="F75" s="7" t="s">
        <v>55</v>
      </c>
      <c r="G75" s="7" t="s">
        <v>316</v>
      </c>
      <c r="H75" s="7" t="s">
        <v>115</v>
      </c>
      <c r="I75" s="7" t="s">
        <v>104</v>
      </c>
      <c r="J75" s="7" t="s">
        <v>167</v>
      </c>
      <c r="K75" s="7" t="s">
        <v>317</v>
      </c>
      <c r="L75" s="7" t="s">
        <v>211</v>
      </c>
      <c r="M75" s="7">
        <v>717000.0</v>
      </c>
      <c r="N75" s="7" t="s">
        <v>39</v>
      </c>
      <c r="O75" s="7" t="s">
        <v>58</v>
      </c>
      <c r="P75" s="7" t="s">
        <v>189</v>
      </c>
      <c r="Q75" s="7" t="s">
        <v>42</v>
      </c>
      <c r="R75" s="7" t="s">
        <v>319</v>
      </c>
      <c r="S75" s="7" t="s">
        <v>170</v>
      </c>
      <c r="T75" s="7" t="s">
        <v>45</v>
      </c>
      <c r="U75" s="7" t="s">
        <v>58</v>
      </c>
      <c r="V75" s="7" t="s">
        <v>320</v>
      </c>
      <c r="W75" s="7" t="s">
        <v>285</v>
      </c>
      <c r="X75" s="7" t="s">
        <v>321</v>
      </c>
      <c r="Y75" s="7" t="s">
        <v>291</v>
      </c>
      <c r="Z75" s="7" t="s">
        <v>215</v>
      </c>
      <c r="AA75" s="7" t="s">
        <v>326</v>
      </c>
      <c r="AB75" s="7" t="s">
        <v>79</v>
      </c>
      <c r="AC75" s="6"/>
    </row>
    <row r="76">
      <c r="A76" s="4" t="str">
        <f t="shared" si="1"/>
        <v>075</v>
      </c>
      <c r="B76" s="7" t="s">
        <v>332</v>
      </c>
      <c r="C76" s="7" t="s">
        <v>333</v>
      </c>
      <c r="D76" s="7" t="s">
        <v>314</v>
      </c>
      <c r="E76" s="7" t="s">
        <v>315</v>
      </c>
      <c r="F76" s="7" t="s">
        <v>55</v>
      </c>
      <c r="G76" s="7" t="s">
        <v>316</v>
      </c>
      <c r="H76" s="8">
        <v>46227.0</v>
      </c>
      <c r="I76" s="7" t="s">
        <v>56</v>
      </c>
      <c r="J76" s="7" t="s">
        <v>219</v>
      </c>
      <c r="K76" s="7" t="s">
        <v>317</v>
      </c>
      <c r="L76" s="7" t="s">
        <v>318</v>
      </c>
      <c r="M76" s="7">
        <v>464000.0</v>
      </c>
      <c r="N76" s="7" t="s">
        <v>39</v>
      </c>
      <c r="O76" s="7" t="s">
        <v>40</v>
      </c>
      <c r="P76" s="7" t="s">
        <v>168</v>
      </c>
      <c r="Q76" s="7" t="s">
        <v>42</v>
      </c>
      <c r="R76" s="7" t="s">
        <v>319</v>
      </c>
      <c r="S76" s="7" t="s">
        <v>143</v>
      </c>
      <c r="T76" s="7" t="s">
        <v>124</v>
      </c>
      <c r="U76" s="7" t="s">
        <v>58</v>
      </c>
      <c r="V76" s="7" t="s">
        <v>320</v>
      </c>
      <c r="W76" s="7" t="s">
        <v>285</v>
      </c>
      <c r="X76" s="7" t="s">
        <v>321</v>
      </c>
      <c r="Y76" s="7" t="s">
        <v>291</v>
      </c>
      <c r="Z76" s="7" t="s">
        <v>95</v>
      </c>
      <c r="AA76" s="7" t="s">
        <v>326</v>
      </c>
      <c r="AB76" s="7" t="s">
        <v>62</v>
      </c>
      <c r="AC76" s="6"/>
    </row>
    <row r="77">
      <c r="A77" s="4" t="str">
        <f t="shared" si="1"/>
        <v>076</v>
      </c>
      <c r="B77" s="7" t="s">
        <v>334</v>
      </c>
      <c r="C77" s="7" t="s">
        <v>335</v>
      </c>
      <c r="D77" s="7" t="s">
        <v>314</v>
      </c>
      <c r="E77" s="7" t="s">
        <v>315</v>
      </c>
      <c r="F77" s="7" t="s">
        <v>55</v>
      </c>
      <c r="G77" s="7" t="s">
        <v>316</v>
      </c>
      <c r="H77" s="7" t="s">
        <v>115</v>
      </c>
      <c r="I77" s="7" t="s">
        <v>104</v>
      </c>
      <c r="J77" s="7" t="s">
        <v>67</v>
      </c>
      <c r="K77" s="7" t="s">
        <v>317</v>
      </c>
      <c r="L77" s="7" t="s">
        <v>38</v>
      </c>
      <c r="M77" s="7">
        <v>613000.0</v>
      </c>
      <c r="N77" s="7" t="s">
        <v>39</v>
      </c>
      <c r="O77" s="7" t="s">
        <v>58</v>
      </c>
      <c r="P77" s="7" t="s">
        <v>69</v>
      </c>
      <c r="Q77" s="7" t="s">
        <v>42</v>
      </c>
      <c r="R77" s="7" t="s">
        <v>325</v>
      </c>
      <c r="S77" s="7" t="s">
        <v>147</v>
      </c>
      <c r="T77" s="7" t="s">
        <v>45</v>
      </c>
      <c r="U77" s="7" t="s">
        <v>58</v>
      </c>
      <c r="V77" s="7" t="s">
        <v>320</v>
      </c>
      <c r="W77" s="7" t="s">
        <v>285</v>
      </c>
      <c r="X77" s="7" t="s">
        <v>321</v>
      </c>
      <c r="Y77" s="7" t="s">
        <v>49</v>
      </c>
      <c r="Z77" s="7" t="s">
        <v>220</v>
      </c>
      <c r="AA77" s="7" t="s">
        <v>326</v>
      </c>
      <c r="AB77" s="7" t="s">
        <v>62</v>
      </c>
      <c r="AC77" s="6"/>
    </row>
    <row r="78">
      <c r="A78" s="4" t="str">
        <f t="shared" si="1"/>
        <v>077</v>
      </c>
      <c r="B78" s="7" t="s">
        <v>336</v>
      </c>
      <c r="C78" s="7" t="s">
        <v>337</v>
      </c>
      <c r="D78" s="7" t="s">
        <v>314</v>
      </c>
      <c r="E78" s="7" t="s">
        <v>315</v>
      </c>
      <c r="F78" s="7" t="s">
        <v>32</v>
      </c>
      <c r="G78" s="7" t="s">
        <v>316</v>
      </c>
      <c r="H78" s="8">
        <v>46227.0</v>
      </c>
      <c r="I78" s="7" t="s">
        <v>75</v>
      </c>
      <c r="J78" s="7" t="s">
        <v>67</v>
      </c>
      <c r="K78" s="7" t="s">
        <v>317</v>
      </c>
      <c r="L78" s="7" t="s">
        <v>38</v>
      </c>
      <c r="M78" s="7">
        <v>654000.0</v>
      </c>
      <c r="N78" s="7" t="s">
        <v>39</v>
      </c>
      <c r="O78" s="7" t="s">
        <v>40</v>
      </c>
      <c r="P78" s="7" t="s">
        <v>41</v>
      </c>
      <c r="Q78" s="7" t="s">
        <v>42</v>
      </c>
      <c r="R78" s="7" t="s">
        <v>319</v>
      </c>
      <c r="S78" s="7" t="s">
        <v>108</v>
      </c>
      <c r="T78" s="7" t="s">
        <v>45</v>
      </c>
      <c r="U78" s="7" t="s">
        <v>58</v>
      </c>
      <c r="V78" s="7" t="s">
        <v>320</v>
      </c>
      <c r="W78" s="7" t="s">
        <v>285</v>
      </c>
      <c r="X78" s="7" t="s">
        <v>321</v>
      </c>
      <c r="Y78" s="7" t="s">
        <v>291</v>
      </c>
      <c r="Z78" s="7" t="s">
        <v>215</v>
      </c>
      <c r="AA78" s="7" t="s">
        <v>326</v>
      </c>
      <c r="AB78" s="7" t="s">
        <v>62</v>
      </c>
      <c r="AC78" s="6"/>
    </row>
    <row r="79">
      <c r="A79" s="4" t="str">
        <f t="shared" si="1"/>
        <v>078</v>
      </c>
      <c r="B79" s="7" t="s">
        <v>338</v>
      </c>
      <c r="C79" s="7" t="s">
        <v>339</v>
      </c>
      <c r="D79" s="7" t="s">
        <v>314</v>
      </c>
      <c r="E79" s="7" t="s">
        <v>315</v>
      </c>
      <c r="F79" s="7" t="s">
        <v>98</v>
      </c>
      <c r="G79" s="7" t="s">
        <v>316</v>
      </c>
      <c r="H79" s="7" t="s">
        <v>115</v>
      </c>
      <c r="I79" s="7" t="s">
        <v>104</v>
      </c>
      <c r="J79" s="7" t="s">
        <v>67</v>
      </c>
      <c r="K79" s="7" t="s">
        <v>317</v>
      </c>
      <c r="L79" s="7" t="s">
        <v>142</v>
      </c>
      <c r="M79" s="7">
        <v>1302000.0</v>
      </c>
      <c r="N79" s="7" t="s">
        <v>39</v>
      </c>
      <c r="O79" s="7" t="s">
        <v>105</v>
      </c>
      <c r="P79" s="7" t="s">
        <v>168</v>
      </c>
      <c r="Q79" s="7" t="s">
        <v>42</v>
      </c>
      <c r="R79" s="7" t="s">
        <v>325</v>
      </c>
      <c r="S79" s="7" t="s">
        <v>108</v>
      </c>
      <c r="T79" s="7" t="s">
        <v>78</v>
      </c>
      <c r="U79" s="7" t="s">
        <v>58</v>
      </c>
      <c r="V79" s="7" t="s">
        <v>320</v>
      </c>
      <c r="W79" s="7" t="s">
        <v>285</v>
      </c>
      <c r="X79" s="7" t="s">
        <v>321</v>
      </c>
      <c r="Y79" s="7" t="s">
        <v>291</v>
      </c>
      <c r="Z79" s="7" t="s">
        <v>95</v>
      </c>
      <c r="AA79" s="7" t="s">
        <v>326</v>
      </c>
      <c r="AB79" s="7" t="s">
        <v>287</v>
      </c>
      <c r="AC79" s="6"/>
    </row>
    <row r="80">
      <c r="A80" s="4" t="str">
        <f t="shared" si="1"/>
        <v>079</v>
      </c>
      <c r="B80" s="7" t="s">
        <v>340</v>
      </c>
      <c r="C80" s="7" t="s">
        <v>341</v>
      </c>
      <c r="D80" s="7" t="s">
        <v>314</v>
      </c>
      <c r="E80" s="7" t="s">
        <v>315</v>
      </c>
      <c r="F80" s="7" t="s">
        <v>55</v>
      </c>
      <c r="G80" s="7" t="s">
        <v>316</v>
      </c>
      <c r="H80" s="7" t="s">
        <v>115</v>
      </c>
      <c r="I80" s="7" t="s">
        <v>75</v>
      </c>
      <c r="J80" s="7" t="s">
        <v>219</v>
      </c>
      <c r="K80" s="7" t="s">
        <v>317</v>
      </c>
      <c r="L80" s="7" t="s">
        <v>281</v>
      </c>
      <c r="M80" s="7">
        <v>591000.0</v>
      </c>
      <c r="N80" s="7" t="s">
        <v>39</v>
      </c>
      <c r="O80" s="7" t="s">
        <v>40</v>
      </c>
      <c r="P80" s="7" t="s">
        <v>41</v>
      </c>
      <c r="Q80" s="7" t="s">
        <v>42</v>
      </c>
      <c r="R80" s="7" t="s">
        <v>325</v>
      </c>
      <c r="S80" s="7" t="s">
        <v>267</v>
      </c>
      <c r="T80" s="7" t="s">
        <v>78</v>
      </c>
      <c r="U80" s="7" t="s">
        <v>58</v>
      </c>
      <c r="V80" s="7" t="s">
        <v>320</v>
      </c>
      <c r="W80" s="7" t="s">
        <v>285</v>
      </c>
      <c r="X80" s="7" t="s">
        <v>321</v>
      </c>
      <c r="Y80" s="7" t="s">
        <v>291</v>
      </c>
      <c r="Z80" s="7" t="s">
        <v>95</v>
      </c>
      <c r="AA80" s="7" t="s">
        <v>326</v>
      </c>
      <c r="AB80" s="7" t="s">
        <v>287</v>
      </c>
      <c r="AC80" s="6"/>
    </row>
    <row r="81">
      <c r="A81" s="4" t="str">
        <f t="shared" si="1"/>
        <v>080</v>
      </c>
      <c r="B81" s="7" t="s">
        <v>342</v>
      </c>
      <c r="C81" s="7" t="s">
        <v>343</v>
      </c>
      <c r="D81" s="7" t="s">
        <v>314</v>
      </c>
      <c r="E81" s="7" t="s">
        <v>315</v>
      </c>
      <c r="F81" s="7" t="s">
        <v>32</v>
      </c>
      <c r="G81" s="7" t="s">
        <v>316</v>
      </c>
      <c r="H81" s="7" t="s">
        <v>34</v>
      </c>
      <c r="I81" s="7" t="s">
        <v>104</v>
      </c>
      <c r="J81" s="7" t="s">
        <v>219</v>
      </c>
      <c r="K81" s="7" t="s">
        <v>317</v>
      </c>
      <c r="L81" s="7" t="s">
        <v>211</v>
      </c>
      <c r="M81" s="7">
        <v>603000.0</v>
      </c>
      <c r="N81" s="7" t="s">
        <v>39</v>
      </c>
      <c r="O81" s="7" t="s">
        <v>40</v>
      </c>
      <c r="P81" s="7" t="s">
        <v>168</v>
      </c>
      <c r="Q81" s="7" t="s">
        <v>42</v>
      </c>
      <c r="R81" s="7" t="s">
        <v>325</v>
      </c>
      <c r="S81" s="7" t="s">
        <v>57</v>
      </c>
      <c r="T81" s="7" t="s">
        <v>45</v>
      </c>
      <c r="U81" s="7" t="s">
        <v>58</v>
      </c>
      <c r="V81" s="7" t="s">
        <v>320</v>
      </c>
      <c r="W81" s="7" t="s">
        <v>285</v>
      </c>
      <c r="X81" s="7" t="s">
        <v>321</v>
      </c>
      <c r="Y81" s="7" t="s">
        <v>86</v>
      </c>
      <c r="Z81" s="7" t="s">
        <v>220</v>
      </c>
      <c r="AA81" s="7" t="s">
        <v>326</v>
      </c>
      <c r="AB81" s="7" t="s">
        <v>62</v>
      </c>
      <c r="AC81" s="6"/>
    </row>
    <row r="82">
      <c r="A82" s="4" t="str">
        <f t="shared" si="1"/>
        <v>081</v>
      </c>
      <c r="B82" s="7" t="s">
        <v>344</v>
      </c>
      <c r="C82" s="7" t="s">
        <v>345</v>
      </c>
      <c r="D82" s="7" t="s">
        <v>314</v>
      </c>
      <c r="E82" s="7" t="s">
        <v>315</v>
      </c>
      <c r="F82" s="7" t="s">
        <v>98</v>
      </c>
      <c r="G82" s="7" t="s">
        <v>316</v>
      </c>
      <c r="H82" s="7" t="s">
        <v>34</v>
      </c>
      <c r="I82" s="7" t="s">
        <v>104</v>
      </c>
      <c r="J82" s="7" t="s">
        <v>167</v>
      </c>
      <c r="K82" s="7" t="s">
        <v>317</v>
      </c>
      <c r="L82" s="7" t="s">
        <v>142</v>
      </c>
      <c r="M82" s="7">
        <v>434000.0</v>
      </c>
      <c r="N82" s="7" t="s">
        <v>39</v>
      </c>
      <c r="O82" s="7" t="s">
        <v>58</v>
      </c>
      <c r="P82" s="7" t="s">
        <v>69</v>
      </c>
      <c r="Q82" s="7" t="s">
        <v>42</v>
      </c>
      <c r="R82" s="7" t="s">
        <v>319</v>
      </c>
      <c r="S82" s="7" t="s">
        <v>44</v>
      </c>
      <c r="T82" s="7" t="s">
        <v>45</v>
      </c>
      <c r="U82" s="7" t="s">
        <v>40</v>
      </c>
      <c r="V82" s="7" t="s">
        <v>320</v>
      </c>
      <c r="W82" s="7" t="s">
        <v>285</v>
      </c>
      <c r="X82" s="7" t="s">
        <v>321</v>
      </c>
      <c r="Y82" s="7" t="s">
        <v>291</v>
      </c>
      <c r="Z82" s="7" t="s">
        <v>220</v>
      </c>
      <c r="AA82" s="7" t="s">
        <v>326</v>
      </c>
      <c r="AB82" s="7" t="s">
        <v>79</v>
      </c>
      <c r="AC82" s="6"/>
    </row>
    <row r="83">
      <c r="A83" s="4" t="str">
        <f t="shared" si="1"/>
        <v>082</v>
      </c>
      <c r="B83" s="7" t="s">
        <v>346</v>
      </c>
      <c r="C83" s="7" t="s">
        <v>347</v>
      </c>
      <c r="D83" s="7" t="s">
        <v>314</v>
      </c>
      <c r="E83" s="7" t="s">
        <v>315</v>
      </c>
      <c r="F83" s="7" t="s">
        <v>55</v>
      </c>
      <c r="G83" s="7" t="s">
        <v>316</v>
      </c>
      <c r="H83" s="7" t="s">
        <v>115</v>
      </c>
      <c r="I83" s="7" t="s">
        <v>104</v>
      </c>
      <c r="J83" s="7" t="s">
        <v>167</v>
      </c>
      <c r="K83" s="7" t="s">
        <v>317</v>
      </c>
      <c r="L83" s="7" t="s">
        <v>348</v>
      </c>
      <c r="M83" s="7">
        <v>603000.0</v>
      </c>
      <c r="N83" s="7" t="s">
        <v>39</v>
      </c>
      <c r="O83" s="7" t="s">
        <v>58</v>
      </c>
      <c r="P83" s="7" t="s">
        <v>168</v>
      </c>
      <c r="Q83" s="7" t="s">
        <v>42</v>
      </c>
      <c r="R83" s="7" t="s">
        <v>319</v>
      </c>
      <c r="S83" s="7" t="s">
        <v>108</v>
      </c>
      <c r="T83" s="7" t="s">
        <v>45</v>
      </c>
      <c r="U83" s="7" t="s">
        <v>58</v>
      </c>
      <c r="V83" s="7" t="s">
        <v>320</v>
      </c>
      <c r="W83" s="7" t="s">
        <v>285</v>
      </c>
      <c r="X83" s="7" t="s">
        <v>321</v>
      </c>
      <c r="Y83" s="7" t="s">
        <v>291</v>
      </c>
      <c r="Z83" s="7" t="s">
        <v>220</v>
      </c>
      <c r="AA83" s="7" t="s">
        <v>326</v>
      </c>
      <c r="AB83" s="7" t="s">
        <v>79</v>
      </c>
      <c r="AC83" s="6"/>
    </row>
    <row r="84">
      <c r="A84" s="4" t="str">
        <f t="shared" si="1"/>
        <v>083</v>
      </c>
      <c r="B84" s="7" t="s">
        <v>349</v>
      </c>
      <c r="C84" s="7" t="s">
        <v>350</v>
      </c>
      <c r="D84" s="7" t="s">
        <v>351</v>
      </c>
      <c r="E84" s="7" t="s">
        <v>352</v>
      </c>
      <c r="F84" s="7" t="s">
        <v>55</v>
      </c>
      <c r="G84" s="7" t="s">
        <v>74</v>
      </c>
      <c r="H84" s="7" t="s">
        <v>115</v>
      </c>
      <c r="I84" s="7" t="s">
        <v>66</v>
      </c>
      <c r="J84" s="7" t="s">
        <v>219</v>
      </c>
      <c r="K84" s="7" t="s">
        <v>353</v>
      </c>
      <c r="L84" s="7" t="s">
        <v>281</v>
      </c>
      <c r="M84" s="7">
        <v>656000.0</v>
      </c>
      <c r="N84" s="7" t="s">
        <v>39</v>
      </c>
      <c r="O84" s="7" t="s">
        <v>40</v>
      </c>
      <c r="P84" s="7" t="s">
        <v>69</v>
      </c>
      <c r="Q84" s="7" t="s">
        <v>42</v>
      </c>
      <c r="R84" s="7" t="s">
        <v>319</v>
      </c>
      <c r="S84" s="7" t="s">
        <v>170</v>
      </c>
      <c r="T84" s="7" t="s">
        <v>45</v>
      </c>
      <c r="U84" s="7" t="s">
        <v>58</v>
      </c>
      <c r="V84" s="7" t="s">
        <v>354</v>
      </c>
      <c r="W84" s="7" t="s">
        <v>214</v>
      </c>
      <c r="X84" s="7" t="s">
        <v>48</v>
      </c>
      <c r="Y84" s="7" t="s">
        <v>291</v>
      </c>
      <c r="Z84" s="7" t="s">
        <v>220</v>
      </c>
      <c r="AA84" s="7" t="s">
        <v>355</v>
      </c>
      <c r="AB84" s="7" t="s">
        <v>133</v>
      </c>
      <c r="AC84" s="6"/>
    </row>
    <row r="85">
      <c r="A85" s="4" t="str">
        <f t="shared" si="1"/>
        <v>084</v>
      </c>
      <c r="B85" s="7" t="s">
        <v>356</v>
      </c>
      <c r="C85" s="7" t="s">
        <v>357</v>
      </c>
      <c r="D85" s="7" t="s">
        <v>351</v>
      </c>
      <c r="E85" s="7" t="s">
        <v>352</v>
      </c>
      <c r="F85" s="7" t="s">
        <v>55</v>
      </c>
      <c r="G85" s="7" t="s">
        <v>33</v>
      </c>
      <c r="H85" s="7" t="s">
        <v>115</v>
      </c>
      <c r="I85" s="7" t="s">
        <v>56</v>
      </c>
      <c r="J85" s="7" t="s">
        <v>219</v>
      </c>
      <c r="K85" s="7" t="s">
        <v>353</v>
      </c>
      <c r="L85" s="7" t="s">
        <v>211</v>
      </c>
      <c r="M85" s="7">
        <v>703000.0</v>
      </c>
      <c r="N85" s="7" t="s">
        <v>39</v>
      </c>
      <c r="O85" s="7" t="s">
        <v>58</v>
      </c>
      <c r="P85" s="7" t="s">
        <v>69</v>
      </c>
      <c r="Q85" s="7" t="s">
        <v>42</v>
      </c>
      <c r="R85" s="7" t="s">
        <v>319</v>
      </c>
      <c r="S85" s="7" t="s">
        <v>143</v>
      </c>
      <c r="T85" s="7" t="s">
        <v>78</v>
      </c>
      <c r="U85" s="7" t="s">
        <v>58</v>
      </c>
      <c r="V85" s="7" t="s">
        <v>320</v>
      </c>
      <c r="W85" s="7" t="s">
        <v>214</v>
      </c>
      <c r="X85" s="7" t="s">
        <v>48</v>
      </c>
      <c r="Y85" s="7" t="s">
        <v>291</v>
      </c>
      <c r="Z85" s="7" t="s">
        <v>215</v>
      </c>
      <c r="AA85" s="7" t="s">
        <v>358</v>
      </c>
      <c r="AB85" s="7" t="s">
        <v>133</v>
      </c>
      <c r="AC85" s="6"/>
    </row>
    <row r="86">
      <c r="A86" s="4" t="str">
        <f t="shared" si="1"/>
        <v>085</v>
      </c>
      <c r="B86" s="7" t="s">
        <v>359</v>
      </c>
      <c r="C86" s="7" t="s">
        <v>360</v>
      </c>
      <c r="D86" s="7" t="s">
        <v>351</v>
      </c>
      <c r="E86" s="7" t="s">
        <v>352</v>
      </c>
      <c r="F86" s="7" t="s">
        <v>55</v>
      </c>
      <c r="G86" s="7" t="s">
        <v>166</v>
      </c>
      <c r="H86" s="7" t="s">
        <v>115</v>
      </c>
      <c r="I86" s="7" t="s">
        <v>75</v>
      </c>
      <c r="J86" s="7" t="s">
        <v>167</v>
      </c>
      <c r="K86" s="7" t="s">
        <v>353</v>
      </c>
      <c r="L86" s="7" t="s">
        <v>227</v>
      </c>
      <c r="M86" s="7">
        <v>563000.0</v>
      </c>
      <c r="N86" s="7" t="s">
        <v>39</v>
      </c>
      <c r="O86" s="7" t="s">
        <v>58</v>
      </c>
      <c r="P86" s="7" t="s">
        <v>168</v>
      </c>
      <c r="Q86" s="7" t="s">
        <v>42</v>
      </c>
      <c r="R86" s="7" t="s">
        <v>319</v>
      </c>
      <c r="S86" s="7" t="s">
        <v>329</v>
      </c>
      <c r="T86" s="7" t="s">
        <v>78</v>
      </c>
      <c r="U86" s="7" t="s">
        <v>58</v>
      </c>
      <c r="V86" s="7" t="s">
        <v>320</v>
      </c>
      <c r="W86" s="7" t="s">
        <v>214</v>
      </c>
      <c r="X86" s="7" t="s">
        <v>48</v>
      </c>
      <c r="Y86" s="7" t="s">
        <v>291</v>
      </c>
      <c r="Z86" s="7" t="s">
        <v>95</v>
      </c>
      <c r="AA86" s="7" t="s">
        <v>358</v>
      </c>
      <c r="AB86" s="7" t="s">
        <v>133</v>
      </c>
      <c r="AC86" s="6"/>
    </row>
    <row r="87">
      <c r="A87" s="4" t="str">
        <f t="shared" si="1"/>
        <v>086</v>
      </c>
      <c r="B87" s="7" t="s">
        <v>361</v>
      </c>
      <c r="C87" s="7" t="s">
        <v>362</v>
      </c>
      <c r="D87" s="7" t="s">
        <v>351</v>
      </c>
      <c r="E87" s="7" t="s">
        <v>352</v>
      </c>
      <c r="F87" s="7" t="s">
        <v>98</v>
      </c>
      <c r="G87" s="7" t="s">
        <v>74</v>
      </c>
      <c r="H87" s="7" t="s">
        <v>115</v>
      </c>
      <c r="I87" s="7" t="s">
        <v>83</v>
      </c>
      <c r="J87" s="7" t="s">
        <v>67</v>
      </c>
      <c r="K87" s="7" t="s">
        <v>353</v>
      </c>
      <c r="L87" s="7" t="s">
        <v>318</v>
      </c>
      <c r="M87" s="7">
        <v>905000.0</v>
      </c>
      <c r="N87" s="7" t="s">
        <v>39</v>
      </c>
      <c r="O87" s="7" t="s">
        <v>58</v>
      </c>
      <c r="P87" s="7" t="s">
        <v>41</v>
      </c>
      <c r="Q87" s="7" t="s">
        <v>42</v>
      </c>
      <c r="R87" s="7" t="s">
        <v>319</v>
      </c>
      <c r="S87" s="7" t="s">
        <v>147</v>
      </c>
      <c r="T87" s="7" t="s">
        <v>45</v>
      </c>
      <c r="U87" s="7" t="s">
        <v>58</v>
      </c>
      <c r="V87" s="7" t="s">
        <v>320</v>
      </c>
      <c r="W87" s="7" t="s">
        <v>214</v>
      </c>
      <c r="X87" s="7" t="s">
        <v>48</v>
      </c>
      <c r="Y87" s="7" t="s">
        <v>86</v>
      </c>
      <c r="Z87" s="7" t="s">
        <v>95</v>
      </c>
      <c r="AA87" s="7" t="s">
        <v>358</v>
      </c>
      <c r="AB87" s="7" t="s">
        <v>133</v>
      </c>
      <c r="AC87" s="6"/>
    </row>
    <row r="88">
      <c r="A88" s="4" t="str">
        <f t="shared" si="1"/>
        <v>087</v>
      </c>
      <c r="B88" s="7" t="s">
        <v>363</v>
      </c>
      <c r="C88" s="7" t="s">
        <v>364</v>
      </c>
      <c r="D88" s="7" t="s">
        <v>351</v>
      </c>
      <c r="E88" s="7" t="s">
        <v>352</v>
      </c>
      <c r="F88" s="7" t="s">
        <v>32</v>
      </c>
      <c r="G88" s="7" t="s">
        <v>74</v>
      </c>
      <c r="H88" s="7" t="s">
        <v>115</v>
      </c>
      <c r="I88" s="7" t="s">
        <v>56</v>
      </c>
      <c r="J88" s="7" t="s">
        <v>219</v>
      </c>
      <c r="K88" s="7" t="s">
        <v>353</v>
      </c>
      <c r="L88" s="7" t="s">
        <v>318</v>
      </c>
      <c r="M88" s="7">
        <v>348000.0</v>
      </c>
      <c r="N88" s="7" t="s">
        <v>39</v>
      </c>
      <c r="O88" s="7" t="s">
        <v>40</v>
      </c>
      <c r="P88" s="7" t="s">
        <v>41</v>
      </c>
      <c r="Q88" s="7" t="s">
        <v>42</v>
      </c>
      <c r="R88" s="7" t="s">
        <v>319</v>
      </c>
      <c r="S88" s="7" t="s">
        <v>77</v>
      </c>
      <c r="T88" s="7" t="s">
        <v>45</v>
      </c>
      <c r="U88" s="7" t="s">
        <v>58</v>
      </c>
      <c r="V88" s="7" t="s">
        <v>320</v>
      </c>
      <c r="W88" s="7" t="s">
        <v>214</v>
      </c>
      <c r="X88" s="7" t="s">
        <v>48</v>
      </c>
      <c r="Y88" s="7" t="s">
        <v>291</v>
      </c>
      <c r="Z88" s="7" t="s">
        <v>215</v>
      </c>
      <c r="AA88" s="7" t="s">
        <v>358</v>
      </c>
      <c r="AB88" s="7" t="s">
        <v>133</v>
      </c>
      <c r="AC88" s="6"/>
    </row>
    <row r="89">
      <c r="A89" s="4" t="str">
        <f t="shared" si="1"/>
        <v>088</v>
      </c>
      <c r="B89" s="7" t="s">
        <v>365</v>
      </c>
      <c r="C89" s="7" t="s">
        <v>366</v>
      </c>
      <c r="D89" s="7" t="s">
        <v>351</v>
      </c>
      <c r="E89" s="7" t="s">
        <v>352</v>
      </c>
      <c r="F89" s="7" t="s">
        <v>32</v>
      </c>
      <c r="G89" s="7" t="s">
        <v>166</v>
      </c>
      <c r="H89" s="7" t="s">
        <v>115</v>
      </c>
      <c r="I89" s="7" t="s">
        <v>104</v>
      </c>
      <c r="J89" s="7" t="s">
        <v>219</v>
      </c>
      <c r="K89" s="7" t="s">
        <v>353</v>
      </c>
      <c r="L89" s="7" t="s">
        <v>227</v>
      </c>
      <c r="M89" s="7">
        <v>398000.0</v>
      </c>
      <c r="N89" s="7" t="s">
        <v>39</v>
      </c>
      <c r="O89" s="7" t="s">
        <v>58</v>
      </c>
      <c r="P89" s="7" t="s">
        <v>41</v>
      </c>
      <c r="Q89" s="7" t="s">
        <v>42</v>
      </c>
      <c r="R89" s="7" t="s">
        <v>319</v>
      </c>
      <c r="S89" s="7" t="s">
        <v>71</v>
      </c>
      <c r="T89" s="7" t="s">
        <v>45</v>
      </c>
      <c r="U89" s="7" t="s">
        <v>58</v>
      </c>
      <c r="V89" s="7" t="s">
        <v>320</v>
      </c>
      <c r="W89" s="7" t="s">
        <v>214</v>
      </c>
      <c r="X89" s="7" t="s">
        <v>48</v>
      </c>
      <c r="Y89" s="7" t="s">
        <v>291</v>
      </c>
      <c r="Z89" s="7" t="s">
        <v>95</v>
      </c>
      <c r="AA89" s="7" t="s">
        <v>358</v>
      </c>
      <c r="AB89" s="7" t="s">
        <v>287</v>
      </c>
      <c r="AC89" s="6"/>
    </row>
    <row r="90">
      <c r="A90" s="4" t="str">
        <f t="shared" si="1"/>
        <v>089</v>
      </c>
      <c r="B90" s="7" t="s">
        <v>367</v>
      </c>
      <c r="C90" s="7" t="s">
        <v>368</v>
      </c>
      <c r="D90" s="7" t="s">
        <v>351</v>
      </c>
      <c r="E90" s="7" t="s">
        <v>352</v>
      </c>
      <c r="F90" s="7" t="s">
        <v>55</v>
      </c>
      <c r="G90" s="7" t="s">
        <v>74</v>
      </c>
      <c r="H90" s="7" t="s">
        <v>115</v>
      </c>
      <c r="I90" s="7" t="s">
        <v>83</v>
      </c>
      <c r="J90" s="7" t="s">
        <v>167</v>
      </c>
      <c r="K90" s="7" t="s">
        <v>353</v>
      </c>
      <c r="L90" s="7" t="s">
        <v>348</v>
      </c>
      <c r="M90" s="7">
        <v>801000.0</v>
      </c>
      <c r="N90" s="7" t="s">
        <v>39</v>
      </c>
      <c r="O90" s="7" t="s">
        <v>40</v>
      </c>
      <c r="P90" s="7" t="s">
        <v>189</v>
      </c>
      <c r="Q90" s="7" t="s">
        <v>42</v>
      </c>
      <c r="R90" s="7" t="s">
        <v>319</v>
      </c>
      <c r="S90" s="7" t="s">
        <v>44</v>
      </c>
      <c r="T90" s="7" t="s">
        <v>45</v>
      </c>
      <c r="U90" s="7" t="s">
        <v>58</v>
      </c>
      <c r="V90" s="7" t="s">
        <v>320</v>
      </c>
      <c r="W90" s="7" t="s">
        <v>214</v>
      </c>
      <c r="X90" s="7" t="s">
        <v>48</v>
      </c>
      <c r="Y90" s="7" t="s">
        <v>291</v>
      </c>
      <c r="Z90" s="7" t="s">
        <v>215</v>
      </c>
      <c r="AA90" s="7" t="s">
        <v>358</v>
      </c>
      <c r="AB90" s="7" t="s">
        <v>133</v>
      </c>
      <c r="AC90" s="6"/>
    </row>
    <row r="91">
      <c r="A91" s="4" t="str">
        <f t="shared" si="1"/>
        <v>090</v>
      </c>
      <c r="B91" s="7" t="s">
        <v>369</v>
      </c>
      <c r="C91" s="7" t="s">
        <v>370</v>
      </c>
      <c r="D91" s="7" t="s">
        <v>351</v>
      </c>
      <c r="E91" s="7" t="s">
        <v>352</v>
      </c>
      <c r="F91" s="7" t="s">
        <v>32</v>
      </c>
      <c r="G91" s="7" t="s">
        <v>74</v>
      </c>
      <c r="H91" s="7" t="s">
        <v>115</v>
      </c>
      <c r="I91" s="7" t="s">
        <v>104</v>
      </c>
      <c r="J91" s="7" t="s">
        <v>219</v>
      </c>
      <c r="K91" s="7" t="s">
        <v>353</v>
      </c>
      <c r="L91" s="7" t="s">
        <v>318</v>
      </c>
      <c r="M91" s="7">
        <v>563000.0</v>
      </c>
      <c r="N91" s="7" t="s">
        <v>39</v>
      </c>
      <c r="O91" s="7" t="s">
        <v>58</v>
      </c>
      <c r="P91" s="7" t="s">
        <v>168</v>
      </c>
      <c r="Q91" s="7" t="s">
        <v>42</v>
      </c>
      <c r="R91" s="7" t="s">
        <v>319</v>
      </c>
      <c r="S91" s="7" t="s">
        <v>44</v>
      </c>
      <c r="T91" s="7" t="s">
        <v>45</v>
      </c>
      <c r="U91" s="7" t="s">
        <v>40</v>
      </c>
      <c r="V91" s="7" t="s">
        <v>320</v>
      </c>
      <c r="W91" s="7" t="s">
        <v>214</v>
      </c>
      <c r="X91" s="7" t="s">
        <v>48</v>
      </c>
      <c r="Y91" s="7" t="s">
        <v>291</v>
      </c>
      <c r="Z91" s="7" t="s">
        <v>215</v>
      </c>
      <c r="AA91" s="7" t="s">
        <v>358</v>
      </c>
      <c r="AB91" s="7" t="s">
        <v>287</v>
      </c>
      <c r="AC91" s="6"/>
    </row>
    <row r="92">
      <c r="A92" s="4" t="str">
        <f t="shared" si="1"/>
        <v>091</v>
      </c>
      <c r="B92" s="7" t="s">
        <v>371</v>
      </c>
      <c r="C92" s="7" t="s">
        <v>372</v>
      </c>
      <c r="D92" s="7" t="s">
        <v>351</v>
      </c>
      <c r="E92" s="7" t="s">
        <v>352</v>
      </c>
      <c r="F92" s="7" t="s">
        <v>55</v>
      </c>
      <c r="G92" s="7" t="s">
        <v>166</v>
      </c>
      <c r="H92" s="7" t="s">
        <v>115</v>
      </c>
      <c r="I92" s="7" t="s">
        <v>75</v>
      </c>
      <c r="J92" s="7" t="s">
        <v>219</v>
      </c>
      <c r="K92" s="7" t="s">
        <v>353</v>
      </c>
      <c r="L92" s="7" t="s">
        <v>318</v>
      </c>
      <c r="M92" s="7">
        <v>720000.0</v>
      </c>
      <c r="N92" s="7" t="s">
        <v>39</v>
      </c>
      <c r="O92" s="7" t="s">
        <v>40</v>
      </c>
      <c r="P92" s="7" t="s">
        <v>41</v>
      </c>
      <c r="Q92" s="7" t="s">
        <v>42</v>
      </c>
      <c r="R92" s="7" t="s">
        <v>319</v>
      </c>
      <c r="S92" s="7" t="s">
        <v>71</v>
      </c>
      <c r="T92" s="7" t="s">
        <v>124</v>
      </c>
      <c r="U92" s="7" t="s">
        <v>40</v>
      </c>
      <c r="V92" s="7" t="s">
        <v>320</v>
      </c>
      <c r="W92" s="7" t="s">
        <v>214</v>
      </c>
      <c r="X92" s="7" t="s">
        <v>48</v>
      </c>
      <c r="Y92" s="7" t="s">
        <v>291</v>
      </c>
      <c r="Z92" s="7" t="s">
        <v>95</v>
      </c>
      <c r="AA92" s="7" t="s">
        <v>358</v>
      </c>
      <c r="AB92" s="7" t="s">
        <v>287</v>
      </c>
      <c r="AC92" s="6"/>
    </row>
    <row r="93">
      <c r="A93" s="4" t="str">
        <f t="shared" si="1"/>
        <v>092</v>
      </c>
      <c r="B93" s="7" t="s">
        <v>373</v>
      </c>
      <c r="C93" s="7" t="s">
        <v>374</v>
      </c>
      <c r="D93" s="7" t="s">
        <v>351</v>
      </c>
      <c r="E93" s="7" t="s">
        <v>352</v>
      </c>
      <c r="F93" s="7" t="s">
        <v>55</v>
      </c>
      <c r="G93" s="7" t="s">
        <v>74</v>
      </c>
      <c r="H93" s="7" t="s">
        <v>115</v>
      </c>
      <c r="I93" s="7" t="s">
        <v>35</v>
      </c>
      <c r="J93" s="7" t="s">
        <v>219</v>
      </c>
      <c r="K93" s="7" t="s">
        <v>353</v>
      </c>
      <c r="L93" s="7" t="s">
        <v>68</v>
      </c>
      <c r="M93" s="7">
        <v>359000.0</v>
      </c>
      <c r="N93" s="7" t="s">
        <v>39</v>
      </c>
      <c r="O93" s="7" t="s">
        <v>58</v>
      </c>
      <c r="P93" s="7" t="s">
        <v>41</v>
      </c>
      <c r="Q93" s="7" t="s">
        <v>42</v>
      </c>
      <c r="R93" s="7" t="s">
        <v>319</v>
      </c>
      <c r="S93" s="7" t="s">
        <v>108</v>
      </c>
      <c r="T93" s="7" t="s">
        <v>78</v>
      </c>
      <c r="U93" s="7" t="s">
        <v>58</v>
      </c>
      <c r="V93" s="7" t="s">
        <v>320</v>
      </c>
      <c r="W93" s="7" t="s">
        <v>214</v>
      </c>
      <c r="X93" s="7" t="s">
        <v>48</v>
      </c>
      <c r="Y93" s="7" t="s">
        <v>86</v>
      </c>
      <c r="Z93" s="7" t="s">
        <v>215</v>
      </c>
      <c r="AA93" s="7" t="s">
        <v>358</v>
      </c>
      <c r="AB93" s="7" t="s">
        <v>79</v>
      </c>
      <c r="AC93" s="6"/>
    </row>
    <row r="94">
      <c r="A94" s="4" t="str">
        <f t="shared" si="1"/>
        <v>093</v>
      </c>
      <c r="B94" s="7" t="s">
        <v>375</v>
      </c>
      <c r="C94" s="7" t="s">
        <v>376</v>
      </c>
      <c r="D94" s="7" t="s">
        <v>351</v>
      </c>
      <c r="E94" s="7" t="s">
        <v>352</v>
      </c>
      <c r="F94" s="7" t="s">
        <v>32</v>
      </c>
      <c r="G94" s="7" t="s">
        <v>166</v>
      </c>
      <c r="H94" s="7" t="s">
        <v>115</v>
      </c>
      <c r="I94" s="7" t="s">
        <v>104</v>
      </c>
      <c r="J94" s="7" t="s">
        <v>167</v>
      </c>
      <c r="K94" s="7" t="s">
        <v>353</v>
      </c>
      <c r="L94" s="7" t="s">
        <v>281</v>
      </c>
      <c r="M94" s="7">
        <v>385000.0</v>
      </c>
      <c r="N94" s="7" t="s">
        <v>39</v>
      </c>
      <c r="O94" s="7" t="s">
        <v>58</v>
      </c>
      <c r="P94" s="7" t="s">
        <v>41</v>
      </c>
      <c r="Q94" s="7" t="s">
        <v>42</v>
      </c>
      <c r="R94" s="7" t="s">
        <v>319</v>
      </c>
      <c r="S94" s="7" t="s">
        <v>147</v>
      </c>
      <c r="T94" s="7" t="s">
        <v>45</v>
      </c>
      <c r="U94" s="7" t="s">
        <v>58</v>
      </c>
      <c r="V94" s="7" t="s">
        <v>320</v>
      </c>
      <c r="W94" s="7" t="s">
        <v>214</v>
      </c>
      <c r="X94" s="7" t="s">
        <v>48</v>
      </c>
      <c r="Y94" s="7" t="s">
        <v>86</v>
      </c>
      <c r="Z94" s="7" t="s">
        <v>220</v>
      </c>
      <c r="AA94" s="7" t="s">
        <v>358</v>
      </c>
      <c r="AB94" s="7" t="s">
        <v>79</v>
      </c>
      <c r="AC94" s="6"/>
    </row>
    <row r="95">
      <c r="A95" s="4" t="str">
        <f t="shared" si="1"/>
        <v>094</v>
      </c>
      <c r="B95" s="7" t="s">
        <v>377</v>
      </c>
      <c r="C95" s="7" t="s">
        <v>378</v>
      </c>
      <c r="D95" s="7" t="s">
        <v>379</v>
      </c>
      <c r="E95" s="7" t="s">
        <v>380</v>
      </c>
      <c r="F95" s="7" t="s">
        <v>55</v>
      </c>
      <c r="G95" s="7" t="s">
        <v>166</v>
      </c>
      <c r="H95" s="7" t="s">
        <v>115</v>
      </c>
      <c r="I95" s="7" t="s">
        <v>104</v>
      </c>
      <c r="J95" s="7" t="s">
        <v>219</v>
      </c>
      <c r="K95" s="7" t="s">
        <v>381</v>
      </c>
      <c r="L95" s="7" t="s">
        <v>142</v>
      </c>
      <c r="M95" s="7">
        <v>590000.0</v>
      </c>
      <c r="N95" s="7" t="s">
        <v>39</v>
      </c>
      <c r="O95" s="7" t="s">
        <v>58</v>
      </c>
      <c r="P95" s="7" t="s">
        <v>168</v>
      </c>
      <c r="Q95" s="7" t="s">
        <v>42</v>
      </c>
      <c r="R95" s="7" t="s">
        <v>382</v>
      </c>
      <c r="S95" s="7" t="s">
        <v>267</v>
      </c>
      <c r="T95" s="7" t="s">
        <v>78</v>
      </c>
      <c r="U95" s="7" t="s">
        <v>58</v>
      </c>
      <c r="V95" s="7" t="s">
        <v>320</v>
      </c>
      <c r="W95" s="7" t="s">
        <v>285</v>
      </c>
      <c r="X95" s="7" t="s">
        <v>321</v>
      </c>
      <c r="Y95" s="7" t="s">
        <v>86</v>
      </c>
      <c r="Z95" s="7" t="s">
        <v>215</v>
      </c>
      <c r="AA95" s="7" t="s">
        <v>383</v>
      </c>
      <c r="AB95" s="7" t="s">
        <v>79</v>
      </c>
      <c r="AC95" s="6"/>
    </row>
    <row r="96">
      <c r="A96" s="4" t="str">
        <f t="shared" si="1"/>
        <v>095</v>
      </c>
      <c r="B96" s="7" t="s">
        <v>384</v>
      </c>
      <c r="C96" s="7" t="s">
        <v>385</v>
      </c>
      <c r="D96" s="7" t="s">
        <v>379</v>
      </c>
      <c r="E96" s="7" t="s">
        <v>380</v>
      </c>
      <c r="F96" s="7" t="s">
        <v>98</v>
      </c>
      <c r="G96" s="7" t="s">
        <v>316</v>
      </c>
      <c r="H96" s="7" t="s">
        <v>115</v>
      </c>
      <c r="I96" s="7" t="s">
        <v>75</v>
      </c>
      <c r="J96" s="7" t="s">
        <v>167</v>
      </c>
      <c r="K96" s="7" t="s">
        <v>381</v>
      </c>
      <c r="L96" s="7" t="s">
        <v>318</v>
      </c>
      <c r="M96" s="7">
        <v>812000.0</v>
      </c>
      <c r="N96" s="7" t="s">
        <v>39</v>
      </c>
      <c r="O96" s="7" t="s">
        <v>40</v>
      </c>
      <c r="P96" s="7" t="s">
        <v>189</v>
      </c>
      <c r="Q96" s="7" t="s">
        <v>42</v>
      </c>
      <c r="R96" s="7" t="s">
        <v>319</v>
      </c>
      <c r="S96" s="7" t="s">
        <v>77</v>
      </c>
      <c r="T96" s="7" t="s">
        <v>78</v>
      </c>
      <c r="U96" s="7" t="s">
        <v>58</v>
      </c>
      <c r="V96" s="7" t="s">
        <v>320</v>
      </c>
      <c r="W96" s="7" t="s">
        <v>285</v>
      </c>
      <c r="X96" s="7" t="s">
        <v>321</v>
      </c>
      <c r="Y96" s="7" t="s">
        <v>86</v>
      </c>
      <c r="Z96" s="7" t="s">
        <v>215</v>
      </c>
      <c r="AA96" s="7" t="s">
        <v>383</v>
      </c>
      <c r="AB96" s="7" t="s">
        <v>287</v>
      </c>
      <c r="AC96" s="6"/>
    </row>
    <row r="97">
      <c r="A97" s="4" t="str">
        <f t="shared" si="1"/>
        <v>096</v>
      </c>
      <c r="B97" s="7" t="s">
        <v>386</v>
      </c>
      <c r="C97" s="7" t="s">
        <v>387</v>
      </c>
      <c r="D97" s="7" t="s">
        <v>379</v>
      </c>
      <c r="E97" s="7" t="s">
        <v>380</v>
      </c>
      <c r="F97" s="7" t="s">
        <v>55</v>
      </c>
      <c r="G97" s="7" t="s">
        <v>166</v>
      </c>
      <c r="H97" s="7" t="s">
        <v>34</v>
      </c>
      <c r="I97" s="7" t="s">
        <v>104</v>
      </c>
      <c r="J97" s="7" t="s">
        <v>219</v>
      </c>
      <c r="K97" s="7" t="s">
        <v>381</v>
      </c>
      <c r="L97" s="7" t="s">
        <v>211</v>
      </c>
      <c r="M97" s="7">
        <v>791000.0</v>
      </c>
      <c r="N97" s="7" t="s">
        <v>39</v>
      </c>
      <c r="O97" s="7" t="s">
        <v>40</v>
      </c>
      <c r="P97" s="7" t="s">
        <v>168</v>
      </c>
      <c r="Q97" s="7" t="s">
        <v>42</v>
      </c>
      <c r="R97" s="7" t="s">
        <v>319</v>
      </c>
      <c r="S97" s="7" t="s">
        <v>232</v>
      </c>
      <c r="T97" s="7" t="s">
        <v>45</v>
      </c>
      <c r="U97" s="7" t="s">
        <v>58</v>
      </c>
      <c r="V97" s="7" t="s">
        <v>320</v>
      </c>
      <c r="W97" s="7" t="s">
        <v>285</v>
      </c>
      <c r="X97" s="7" t="s">
        <v>321</v>
      </c>
      <c r="Y97" s="7" t="s">
        <v>291</v>
      </c>
      <c r="Z97" s="7" t="s">
        <v>220</v>
      </c>
      <c r="AA97" s="7" t="s">
        <v>383</v>
      </c>
      <c r="AB97" s="7" t="s">
        <v>79</v>
      </c>
      <c r="AC97" s="6"/>
    </row>
    <row r="98">
      <c r="A98" s="4" t="str">
        <f t="shared" si="1"/>
        <v>097</v>
      </c>
      <c r="B98" s="7" t="s">
        <v>388</v>
      </c>
      <c r="C98" s="7" t="s">
        <v>389</v>
      </c>
      <c r="D98" s="7" t="s">
        <v>379</v>
      </c>
      <c r="E98" s="7" t="s">
        <v>380</v>
      </c>
      <c r="F98" s="7" t="s">
        <v>55</v>
      </c>
      <c r="G98" s="7" t="s">
        <v>166</v>
      </c>
      <c r="H98" s="7" t="s">
        <v>115</v>
      </c>
      <c r="I98" s="7" t="s">
        <v>104</v>
      </c>
      <c r="J98" s="7" t="s">
        <v>167</v>
      </c>
      <c r="K98" s="7" t="s">
        <v>381</v>
      </c>
      <c r="L98" s="7" t="s">
        <v>142</v>
      </c>
      <c r="M98" s="7">
        <v>1187000.0</v>
      </c>
      <c r="N98" s="7" t="s">
        <v>39</v>
      </c>
      <c r="O98" s="7" t="s">
        <v>40</v>
      </c>
      <c r="P98" s="7" t="s">
        <v>69</v>
      </c>
      <c r="Q98" s="7" t="s">
        <v>42</v>
      </c>
      <c r="R98" s="7" t="s">
        <v>319</v>
      </c>
      <c r="S98" s="7" t="s">
        <v>44</v>
      </c>
      <c r="T98" s="7" t="s">
        <v>124</v>
      </c>
      <c r="U98" s="7" t="s">
        <v>58</v>
      </c>
      <c r="V98" s="7" t="s">
        <v>320</v>
      </c>
      <c r="W98" s="7" t="s">
        <v>285</v>
      </c>
      <c r="X98" s="7" t="s">
        <v>321</v>
      </c>
      <c r="Y98" s="7" t="s">
        <v>86</v>
      </c>
      <c r="Z98" s="7" t="s">
        <v>215</v>
      </c>
      <c r="AA98" s="7" t="s">
        <v>383</v>
      </c>
      <c r="AB98" s="7" t="s">
        <v>79</v>
      </c>
      <c r="AC98" s="6"/>
    </row>
    <row r="99">
      <c r="A99" s="4" t="str">
        <f t="shared" si="1"/>
        <v>098</v>
      </c>
      <c r="B99" s="7" t="s">
        <v>390</v>
      </c>
      <c r="C99" s="7" t="s">
        <v>391</v>
      </c>
      <c r="D99" s="7" t="s">
        <v>379</v>
      </c>
      <c r="E99" s="7" t="s">
        <v>380</v>
      </c>
      <c r="F99" s="7" t="s">
        <v>55</v>
      </c>
      <c r="G99" s="7" t="s">
        <v>316</v>
      </c>
      <c r="H99" s="7" t="s">
        <v>34</v>
      </c>
      <c r="I99" s="7" t="s">
        <v>56</v>
      </c>
      <c r="J99" s="7" t="s">
        <v>219</v>
      </c>
      <c r="K99" s="7" t="s">
        <v>381</v>
      </c>
      <c r="L99" s="7" t="s">
        <v>38</v>
      </c>
      <c r="M99" s="7">
        <v>1235000.0</v>
      </c>
      <c r="N99" s="7" t="s">
        <v>39</v>
      </c>
      <c r="O99" s="7" t="s">
        <v>40</v>
      </c>
      <c r="P99" s="7" t="s">
        <v>41</v>
      </c>
      <c r="Q99" s="7" t="s">
        <v>42</v>
      </c>
      <c r="R99" s="7" t="s">
        <v>392</v>
      </c>
      <c r="S99" s="7" t="s">
        <v>143</v>
      </c>
      <c r="T99" s="7" t="s">
        <v>78</v>
      </c>
      <c r="U99" s="7" t="s">
        <v>40</v>
      </c>
      <c r="V99" s="7" t="s">
        <v>320</v>
      </c>
      <c r="W99" s="7" t="s">
        <v>285</v>
      </c>
      <c r="X99" s="7" t="s">
        <v>321</v>
      </c>
      <c r="Y99" s="7" t="s">
        <v>86</v>
      </c>
      <c r="Z99" s="7" t="s">
        <v>220</v>
      </c>
      <c r="AA99" s="7" t="s">
        <v>383</v>
      </c>
      <c r="AB99" s="7" t="s">
        <v>62</v>
      </c>
      <c r="AC99" s="6"/>
    </row>
    <row r="100">
      <c r="A100" s="4" t="str">
        <f t="shared" si="1"/>
        <v>099</v>
      </c>
      <c r="B100" s="7" t="s">
        <v>393</v>
      </c>
      <c r="C100" s="7" t="s">
        <v>394</v>
      </c>
      <c r="D100" s="7" t="s">
        <v>379</v>
      </c>
      <c r="E100" s="7" t="s">
        <v>380</v>
      </c>
      <c r="F100" s="7" t="s">
        <v>98</v>
      </c>
      <c r="G100" s="7" t="s">
        <v>316</v>
      </c>
      <c r="H100" s="7" t="s">
        <v>115</v>
      </c>
      <c r="I100" s="7" t="s">
        <v>104</v>
      </c>
      <c r="J100" s="7" t="s">
        <v>219</v>
      </c>
      <c r="K100" s="7" t="s">
        <v>381</v>
      </c>
      <c r="L100" s="7" t="s">
        <v>227</v>
      </c>
      <c r="M100" s="7">
        <v>846000.0</v>
      </c>
      <c r="N100" s="7" t="s">
        <v>39</v>
      </c>
      <c r="O100" s="7" t="s">
        <v>58</v>
      </c>
      <c r="P100" s="7" t="s">
        <v>41</v>
      </c>
      <c r="Q100" s="7" t="s">
        <v>42</v>
      </c>
      <c r="R100" s="7" t="s">
        <v>392</v>
      </c>
      <c r="S100" s="7" t="s">
        <v>143</v>
      </c>
      <c r="T100" s="7" t="s">
        <v>45</v>
      </c>
      <c r="U100" s="7" t="s">
        <v>58</v>
      </c>
      <c r="V100" s="7" t="s">
        <v>320</v>
      </c>
      <c r="W100" s="7" t="s">
        <v>285</v>
      </c>
      <c r="X100" s="7" t="s">
        <v>321</v>
      </c>
      <c r="Y100" s="7" t="s">
        <v>49</v>
      </c>
      <c r="Z100" s="7" t="s">
        <v>220</v>
      </c>
      <c r="AA100" s="7" t="s">
        <v>383</v>
      </c>
      <c r="AB100" s="7" t="s">
        <v>62</v>
      </c>
      <c r="AC100" s="6"/>
    </row>
    <row r="101">
      <c r="A101" s="4" t="str">
        <f t="shared" si="1"/>
        <v>100</v>
      </c>
      <c r="B101" s="7" t="s">
        <v>395</v>
      </c>
      <c r="C101" s="7" t="s">
        <v>396</v>
      </c>
      <c r="D101" s="7" t="s">
        <v>379</v>
      </c>
      <c r="E101" s="7" t="s">
        <v>380</v>
      </c>
      <c r="F101" s="7" t="s">
        <v>55</v>
      </c>
      <c r="G101" s="7" t="s">
        <v>74</v>
      </c>
      <c r="H101" s="8">
        <v>46227.0</v>
      </c>
      <c r="I101" s="7" t="s">
        <v>75</v>
      </c>
      <c r="J101" s="7" t="s">
        <v>167</v>
      </c>
      <c r="K101" s="7" t="s">
        <v>381</v>
      </c>
      <c r="L101" s="7" t="s">
        <v>142</v>
      </c>
      <c r="M101" s="7">
        <v>492000.0</v>
      </c>
      <c r="N101" s="7" t="s">
        <v>39</v>
      </c>
      <c r="O101" s="7" t="s">
        <v>58</v>
      </c>
      <c r="P101" s="7" t="s">
        <v>69</v>
      </c>
      <c r="Q101" s="7" t="s">
        <v>42</v>
      </c>
      <c r="R101" s="7" t="s">
        <v>319</v>
      </c>
      <c r="S101" s="7" t="s">
        <v>77</v>
      </c>
      <c r="T101" s="7" t="s">
        <v>124</v>
      </c>
      <c r="U101" s="7" t="s">
        <v>58</v>
      </c>
      <c r="V101" s="7" t="s">
        <v>320</v>
      </c>
      <c r="W101" s="7" t="s">
        <v>285</v>
      </c>
      <c r="X101" s="7" t="s">
        <v>321</v>
      </c>
      <c r="Y101" s="7" t="s">
        <v>291</v>
      </c>
      <c r="Z101" s="7" t="s">
        <v>220</v>
      </c>
      <c r="AA101" s="7" t="s">
        <v>383</v>
      </c>
      <c r="AB101" s="7" t="s">
        <v>62</v>
      </c>
      <c r="AC101" s="6"/>
    </row>
    <row r="102">
      <c r="A102" s="4" t="str">
        <f t="shared" si="1"/>
        <v>101</v>
      </c>
      <c r="B102" s="7" t="s">
        <v>397</v>
      </c>
      <c r="C102" s="7" t="s">
        <v>398</v>
      </c>
      <c r="D102" s="7" t="s">
        <v>379</v>
      </c>
      <c r="E102" s="7" t="s">
        <v>380</v>
      </c>
      <c r="F102" s="7" t="s">
        <v>32</v>
      </c>
      <c r="G102" s="7" t="s">
        <v>74</v>
      </c>
      <c r="H102" s="7" t="s">
        <v>115</v>
      </c>
      <c r="I102" s="7" t="s">
        <v>104</v>
      </c>
      <c r="J102" s="7" t="s">
        <v>67</v>
      </c>
      <c r="K102" s="7" t="s">
        <v>381</v>
      </c>
      <c r="L102" s="7" t="s">
        <v>348</v>
      </c>
      <c r="M102" s="7">
        <v>550000.0</v>
      </c>
      <c r="N102" s="7" t="s">
        <v>39</v>
      </c>
      <c r="O102" s="7" t="s">
        <v>40</v>
      </c>
      <c r="P102" s="7" t="s">
        <v>41</v>
      </c>
      <c r="Q102" s="7" t="s">
        <v>42</v>
      </c>
      <c r="R102" s="7" t="s">
        <v>319</v>
      </c>
      <c r="S102" s="7" t="s">
        <v>267</v>
      </c>
      <c r="T102" s="7" t="s">
        <v>124</v>
      </c>
      <c r="U102" s="7" t="s">
        <v>58</v>
      </c>
      <c r="V102" s="7" t="s">
        <v>320</v>
      </c>
      <c r="W102" s="7" t="s">
        <v>285</v>
      </c>
      <c r="X102" s="7" t="s">
        <v>321</v>
      </c>
      <c r="Y102" s="7" t="s">
        <v>291</v>
      </c>
      <c r="Z102" s="7" t="s">
        <v>220</v>
      </c>
      <c r="AA102" s="7" t="s">
        <v>383</v>
      </c>
      <c r="AB102" s="7" t="s">
        <v>62</v>
      </c>
      <c r="AC102" s="6"/>
    </row>
    <row r="103">
      <c r="A103" s="4" t="str">
        <f t="shared" si="1"/>
        <v>102</v>
      </c>
      <c r="B103" s="7" t="s">
        <v>399</v>
      </c>
      <c r="C103" s="7" t="s">
        <v>400</v>
      </c>
      <c r="D103" s="7" t="s">
        <v>379</v>
      </c>
      <c r="E103" s="7" t="s">
        <v>380</v>
      </c>
      <c r="F103" s="7" t="s">
        <v>55</v>
      </c>
      <c r="G103" s="7" t="s">
        <v>166</v>
      </c>
      <c r="H103" s="8">
        <v>46227.0</v>
      </c>
      <c r="I103" s="7" t="s">
        <v>104</v>
      </c>
      <c r="J103" s="7" t="s">
        <v>219</v>
      </c>
      <c r="K103" s="7" t="s">
        <v>381</v>
      </c>
      <c r="L103" s="7" t="s">
        <v>38</v>
      </c>
      <c r="M103" s="7">
        <v>450000.0</v>
      </c>
      <c r="N103" s="7" t="s">
        <v>39</v>
      </c>
      <c r="O103" s="7" t="s">
        <v>58</v>
      </c>
      <c r="P103" s="7" t="s">
        <v>69</v>
      </c>
      <c r="Q103" s="7" t="s">
        <v>42</v>
      </c>
      <c r="R103" s="7" t="s">
        <v>319</v>
      </c>
      <c r="S103" s="7" t="s">
        <v>44</v>
      </c>
      <c r="T103" s="7" t="s">
        <v>124</v>
      </c>
      <c r="U103" s="7" t="s">
        <v>58</v>
      </c>
      <c r="V103" s="7" t="s">
        <v>320</v>
      </c>
      <c r="W103" s="7" t="s">
        <v>285</v>
      </c>
      <c r="X103" s="7" t="s">
        <v>321</v>
      </c>
      <c r="Y103" s="7" t="s">
        <v>86</v>
      </c>
      <c r="Z103" s="7" t="s">
        <v>215</v>
      </c>
      <c r="AA103" s="7" t="s">
        <v>383</v>
      </c>
      <c r="AB103" s="7" t="s">
        <v>62</v>
      </c>
      <c r="AC103" s="6"/>
    </row>
    <row r="104">
      <c r="A104" s="4" t="str">
        <f t="shared" si="1"/>
        <v>103</v>
      </c>
      <c r="B104" s="7" t="s">
        <v>401</v>
      </c>
      <c r="C104" s="7" t="s">
        <v>402</v>
      </c>
      <c r="D104" s="7" t="s">
        <v>379</v>
      </c>
      <c r="E104" s="7" t="s">
        <v>380</v>
      </c>
      <c r="F104" s="7" t="s">
        <v>55</v>
      </c>
      <c r="G104" s="7" t="s">
        <v>316</v>
      </c>
      <c r="H104" s="8">
        <v>46227.0</v>
      </c>
      <c r="I104" s="7" t="s">
        <v>56</v>
      </c>
      <c r="J104" s="7" t="s">
        <v>67</v>
      </c>
      <c r="K104" s="7" t="s">
        <v>381</v>
      </c>
      <c r="L104" s="7" t="s">
        <v>281</v>
      </c>
      <c r="M104" s="7">
        <v>786000.0</v>
      </c>
      <c r="N104" s="7" t="s">
        <v>39</v>
      </c>
      <c r="O104" s="7" t="s">
        <v>105</v>
      </c>
      <c r="P104" s="7" t="s">
        <v>168</v>
      </c>
      <c r="Q104" s="7" t="s">
        <v>42</v>
      </c>
      <c r="R104" s="7" t="s">
        <v>392</v>
      </c>
      <c r="S104" s="7" t="s">
        <v>108</v>
      </c>
      <c r="T104" s="7" t="s">
        <v>45</v>
      </c>
      <c r="U104" s="7" t="s">
        <v>58</v>
      </c>
      <c r="V104" s="7" t="s">
        <v>320</v>
      </c>
      <c r="W104" s="7" t="s">
        <v>285</v>
      </c>
      <c r="X104" s="7" t="s">
        <v>321</v>
      </c>
      <c r="Y104" s="7" t="s">
        <v>291</v>
      </c>
      <c r="Z104" s="7" t="s">
        <v>215</v>
      </c>
      <c r="AA104" s="7" t="s">
        <v>383</v>
      </c>
      <c r="AB104" s="7" t="s">
        <v>287</v>
      </c>
      <c r="AC104" s="6"/>
    </row>
    <row r="105">
      <c r="A105" s="4" t="str">
        <f t="shared" si="1"/>
        <v>104</v>
      </c>
      <c r="B105" s="7" t="s">
        <v>403</v>
      </c>
      <c r="C105" s="7" t="s">
        <v>404</v>
      </c>
      <c r="D105" s="7" t="s">
        <v>379</v>
      </c>
      <c r="E105" s="7" t="s">
        <v>380</v>
      </c>
      <c r="F105" s="7" t="s">
        <v>98</v>
      </c>
      <c r="G105" s="7" t="s">
        <v>74</v>
      </c>
      <c r="H105" s="7" t="s">
        <v>115</v>
      </c>
      <c r="I105" s="7" t="s">
        <v>56</v>
      </c>
      <c r="J105" s="7" t="s">
        <v>219</v>
      </c>
      <c r="K105" s="7" t="s">
        <v>381</v>
      </c>
      <c r="L105" s="7" t="s">
        <v>38</v>
      </c>
      <c r="M105" s="7">
        <v>1200000.0</v>
      </c>
      <c r="N105" s="7" t="s">
        <v>39</v>
      </c>
      <c r="O105" s="7" t="s">
        <v>40</v>
      </c>
      <c r="P105" s="7" t="s">
        <v>69</v>
      </c>
      <c r="Q105" s="7" t="s">
        <v>42</v>
      </c>
      <c r="R105" s="7" t="s">
        <v>382</v>
      </c>
      <c r="S105" s="7" t="s">
        <v>71</v>
      </c>
      <c r="T105" s="7" t="s">
        <v>78</v>
      </c>
      <c r="U105" s="7" t="s">
        <v>40</v>
      </c>
      <c r="V105" s="7" t="s">
        <v>320</v>
      </c>
      <c r="W105" s="7" t="s">
        <v>285</v>
      </c>
      <c r="X105" s="7" t="s">
        <v>321</v>
      </c>
      <c r="Y105" s="7" t="s">
        <v>291</v>
      </c>
      <c r="Z105" s="7" t="s">
        <v>215</v>
      </c>
      <c r="AA105" s="7" t="s">
        <v>383</v>
      </c>
      <c r="AB105" s="7" t="s">
        <v>287</v>
      </c>
      <c r="AC105" s="6"/>
    </row>
    <row r="106">
      <c r="A106" s="4" t="str">
        <f t="shared" si="1"/>
        <v>105</v>
      </c>
      <c r="B106" s="7" t="s">
        <v>405</v>
      </c>
      <c r="C106" s="7" t="s">
        <v>406</v>
      </c>
      <c r="D106" s="7" t="s">
        <v>407</v>
      </c>
      <c r="E106" s="7" t="s">
        <v>408</v>
      </c>
      <c r="F106" s="7" t="s">
        <v>294</v>
      </c>
      <c r="G106" s="7" t="s">
        <v>166</v>
      </c>
      <c r="H106" s="7" t="s">
        <v>409</v>
      </c>
      <c r="I106" s="7" t="s">
        <v>83</v>
      </c>
      <c r="J106" s="7" t="s">
        <v>219</v>
      </c>
      <c r="K106" s="7" t="s">
        <v>410</v>
      </c>
      <c r="L106" s="7" t="s">
        <v>211</v>
      </c>
      <c r="M106" s="7">
        <v>420000.0</v>
      </c>
      <c r="N106" s="7" t="s">
        <v>122</v>
      </c>
      <c r="O106" s="7" t="s">
        <v>58</v>
      </c>
      <c r="P106" s="7" t="s">
        <v>69</v>
      </c>
      <c r="Q106" s="7" t="s">
        <v>42</v>
      </c>
      <c r="R106" s="7" t="s">
        <v>411</v>
      </c>
      <c r="S106" s="7" t="s">
        <v>57</v>
      </c>
      <c r="T106" s="7" t="s">
        <v>45</v>
      </c>
      <c r="U106" s="7" t="s">
        <v>125</v>
      </c>
      <c r="V106" s="7" t="s">
        <v>284</v>
      </c>
      <c r="W106" s="7" t="s">
        <v>285</v>
      </c>
      <c r="X106" s="7" t="s">
        <v>48</v>
      </c>
      <c r="Y106" s="7" t="s">
        <v>172</v>
      </c>
      <c r="Z106" s="7" t="s">
        <v>95</v>
      </c>
      <c r="AA106" s="7" t="s">
        <v>412</v>
      </c>
      <c r="AB106" s="7" t="s">
        <v>144</v>
      </c>
      <c r="AC106" s="6"/>
    </row>
    <row r="107">
      <c r="A107" s="4" t="str">
        <f t="shared" si="1"/>
        <v>106</v>
      </c>
      <c r="B107" s="7" t="s">
        <v>413</v>
      </c>
      <c r="C107" s="7" t="s">
        <v>414</v>
      </c>
      <c r="D107" s="7" t="s">
        <v>407</v>
      </c>
      <c r="E107" s="7" t="s">
        <v>408</v>
      </c>
      <c r="F107" s="7" t="s">
        <v>294</v>
      </c>
      <c r="G107" s="7" t="s">
        <v>166</v>
      </c>
      <c r="H107" s="7" t="s">
        <v>34</v>
      </c>
      <c r="I107" s="7" t="s">
        <v>83</v>
      </c>
      <c r="J107" s="7" t="s">
        <v>219</v>
      </c>
      <c r="K107" s="7" t="s">
        <v>410</v>
      </c>
      <c r="L107" s="7" t="s">
        <v>211</v>
      </c>
      <c r="M107" s="7">
        <v>499000.0</v>
      </c>
      <c r="N107" s="7" t="s">
        <v>122</v>
      </c>
      <c r="O107" s="7" t="s">
        <v>58</v>
      </c>
      <c r="P107" s="7" t="s">
        <v>189</v>
      </c>
      <c r="Q107" s="7" t="s">
        <v>42</v>
      </c>
      <c r="R107" s="7" t="s">
        <v>411</v>
      </c>
      <c r="S107" s="7" t="s">
        <v>57</v>
      </c>
      <c r="T107" s="7" t="s">
        <v>78</v>
      </c>
      <c r="U107" s="7" t="s">
        <v>125</v>
      </c>
      <c r="V107" s="7" t="s">
        <v>284</v>
      </c>
      <c r="W107" s="7" t="s">
        <v>285</v>
      </c>
      <c r="X107" s="7" t="s">
        <v>48</v>
      </c>
      <c r="Y107" s="7" t="s">
        <v>172</v>
      </c>
      <c r="Z107" s="7" t="s">
        <v>215</v>
      </c>
      <c r="AA107" s="7" t="s">
        <v>412</v>
      </c>
      <c r="AB107" s="7" t="s">
        <v>144</v>
      </c>
      <c r="AC107" s="6"/>
    </row>
    <row r="108">
      <c r="A108" s="4" t="str">
        <f t="shared" si="1"/>
        <v>107</v>
      </c>
      <c r="B108" s="7" t="s">
        <v>415</v>
      </c>
      <c r="C108" s="7" t="s">
        <v>416</v>
      </c>
      <c r="D108" s="7" t="s">
        <v>407</v>
      </c>
      <c r="E108" s="7" t="s">
        <v>408</v>
      </c>
      <c r="F108" s="7" t="s">
        <v>294</v>
      </c>
      <c r="G108" s="7" t="s">
        <v>166</v>
      </c>
      <c r="H108" s="7" t="s">
        <v>409</v>
      </c>
      <c r="I108" s="7" t="s">
        <v>75</v>
      </c>
      <c r="J108" s="7" t="s">
        <v>219</v>
      </c>
      <c r="K108" s="7" t="s">
        <v>410</v>
      </c>
      <c r="L108" s="7" t="s">
        <v>211</v>
      </c>
      <c r="M108" s="7">
        <v>396000.0</v>
      </c>
      <c r="N108" s="7" t="s">
        <v>122</v>
      </c>
      <c r="O108" s="7" t="s">
        <v>58</v>
      </c>
      <c r="P108" s="7" t="s">
        <v>189</v>
      </c>
      <c r="Q108" s="7" t="s">
        <v>42</v>
      </c>
      <c r="R108" s="7" t="s">
        <v>283</v>
      </c>
      <c r="S108" s="7" t="s">
        <v>57</v>
      </c>
      <c r="T108" s="7" t="s">
        <v>45</v>
      </c>
      <c r="U108" s="7" t="s">
        <v>125</v>
      </c>
      <c r="V108" s="7" t="s">
        <v>284</v>
      </c>
      <c r="W108" s="7" t="s">
        <v>285</v>
      </c>
      <c r="X108" s="7" t="s">
        <v>321</v>
      </c>
      <c r="Y108" s="7" t="s">
        <v>172</v>
      </c>
      <c r="Z108" s="7" t="s">
        <v>215</v>
      </c>
      <c r="AA108" s="7" t="s">
        <v>412</v>
      </c>
      <c r="AB108" s="7" t="s">
        <v>144</v>
      </c>
      <c r="AC108" s="6"/>
    </row>
    <row r="109">
      <c r="A109" s="4" t="str">
        <f t="shared" si="1"/>
        <v>108</v>
      </c>
      <c r="B109" s="7" t="s">
        <v>417</v>
      </c>
      <c r="C109" s="7" t="s">
        <v>418</v>
      </c>
      <c r="D109" s="7" t="s">
        <v>407</v>
      </c>
      <c r="E109" s="7" t="s">
        <v>408</v>
      </c>
      <c r="F109" s="7" t="s">
        <v>32</v>
      </c>
      <c r="G109" s="7" t="s">
        <v>166</v>
      </c>
      <c r="H109" s="7" t="s">
        <v>409</v>
      </c>
      <c r="I109" s="7" t="s">
        <v>83</v>
      </c>
      <c r="J109" s="7" t="s">
        <v>219</v>
      </c>
      <c r="K109" s="7" t="s">
        <v>410</v>
      </c>
      <c r="L109" s="7" t="s">
        <v>227</v>
      </c>
      <c r="M109" s="7">
        <v>332000.0</v>
      </c>
      <c r="N109" s="7" t="s">
        <v>122</v>
      </c>
      <c r="O109" s="7" t="s">
        <v>58</v>
      </c>
      <c r="P109" s="7" t="s">
        <v>41</v>
      </c>
      <c r="Q109" s="7" t="s">
        <v>42</v>
      </c>
      <c r="R109" s="7" t="s">
        <v>411</v>
      </c>
      <c r="S109" s="7" t="s">
        <v>71</v>
      </c>
      <c r="T109" s="7" t="s">
        <v>45</v>
      </c>
      <c r="U109" s="7" t="s">
        <v>125</v>
      </c>
      <c r="V109" s="7" t="s">
        <v>284</v>
      </c>
      <c r="W109" s="7" t="s">
        <v>285</v>
      </c>
      <c r="X109" s="7" t="s">
        <v>48</v>
      </c>
      <c r="Y109" s="7" t="s">
        <v>291</v>
      </c>
      <c r="Z109" s="7" t="s">
        <v>220</v>
      </c>
      <c r="AA109" s="7" t="s">
        <v>412</v>
      </c>
      <c r="AB109" s="7" t="s">
        <v>133</v>
      </c>
      <c r="AC109" s="6"/>
    </row>
    <row r="110">
      <c r="A110" s="4" t="str">
        <f t="shared" si="1"/>
        <v>109</v>
      </c>
      <c r="B110" s="7" t="s">
        <v>419</v>
      </c>
      <c r="C110" s="7" t="s">
        <v>420</v>
      </c>
      <c r="D110" s="7" t="s">
        <v>407</v>
      </c>
      <c r="E110" s="7" t="s">
        <v>408</v>
      </c>
      <c r="F110" s="7" t="s">
        <v>294</v>
      </c>
      <c r="G110" s="7" t="s">
        <v>166</v>
      </c>
      <c r="H110" s="7" t="s">
        <v>409</v>
      </c>
      <c r="I110" s="7" t="s">
        <v>83</v>
      </c>
      <c r="J110" s="7" t="s">
        <v>219</v>
      </c>
      <c r="K110" s="7" t="s">
        <v>410</v>
      </c>
      <c r="L110" s="7" t="s">
        <v>211</v>
      </c>
      <c r="M110" s="7">
        <v>403000.0</v>
      </c>
      <c r="N110" s="7" t="s">
        <v>122</v>
      </c>
      <c r="O110" s="7" t="s">
        <v>58</v>
      </c>
      <c r="P110" s="7" t="s">
        <v>189</v>
      </c>
      <c r="Q110" s="7" t="s">
        <v>42</v>
      </c>
      <c r="R110" s="7" t="s">
        <v>411</v>
      </c>
      <c r="S110" s="7" t="s">
        <v>44</v>
      </c>
      <c r="T110" s="7" t="s">
        <v>45</v>
      </c>
      <c r="U110" s="7" t="s">
        <v>125</v>
      </c>
      <c r="V110" s="7" t="s">
        <v>284</v>
      </c>
      <c r="W110" s="7" t="s">
        <v>285</v>
      </c>
      <c r="X110" s="7" t="s">
        <v>321</v>
      </c>
      <c r="Y110" s="7" t="s">
        <v>172</v>
      </c>
      <c r="Z110" s="7" t="s">
        <v>220</v>
      </c>
      <c r="AA110" s="7" t="s">
        <v>412</v>
      </c>
      <c r="AB110" s="7" t="s">
        <v>287</v>
      </c>
      <c r="AC110" s="6"/>
    </row>
    <row r="111">
      <c r="A111" s="4" t="str">
        <f t="shared" si="1"/>
        <v>110</v>
      </c>
      <c r="B111" s="7" t="s">
        <v>421</v>
      </c>
      <c r="C111" s="7" t="s">
        <v>422</v>
      </c>
      <c r="D111" s="7" t="s">
        <v>407</v>
      </c>
      <c r="E111" s="7" t="s">
        <v>408</v>
      </c>
      <c r="F111" s="7" t="s">
        <v>32</v>
      </c>
      <c r="G111" s="7" t="s">
        <v>166</v>
      </c>
      <c r="H111" s="7" t="s">
        <v>409</v>
      </c>
      <c r="I111" s="7" t="s">
        <v>83</v>
      </c>
      <c r="J111" s="7" t="s">
        <v>219</v>
      </c>
      <c r="K111" s="7" t="s">
        <v>410</v>
      </c>
      <c r="L111" s="7" t="s">
        <v>227</v>
      </c>
      <c r="M111" s="7">
        <v>590000.0</v>
      </c>
      <c r="N111" s="7" t="s">
        <v>122</v>
      </c>
      <c r="O111" s="7" t="s">
        <v>58</v>
      </c>
      <c r="P111" s="7" t="s">
        <v>189</v>
      </c>
      <c r="Q111" s="7" t="s">
        <v>42</v>
      </c>
      <c r="R111" s="7" t="s">
        <v>423</v>
      </c>
      <c r="S111" s="7" t="s">
        <v>108</v>
      </c>
      <c r="T111" s="7" t="s">
        <v>45</v>
      </c>
      <c r="U111" s="7" t="s">
        <v>125</v>
      </c>
      <c r="V111" s="7" t="s">
        <v>284</v>
      </c>
      <c r="W111" s="7" t="s">
        <v>285</v>
      </c>
      <c r="X111" s="7" t="s">
        <v>48</v>
      </c>
      <c r="Y111" s="7" t="s">
        <v>172</v>
      </c>
      <c r="Z111" s="7" t="s">
        <v>220</v>
      </c>
      <c r="AA111" s="7" t="s">
        <v>412</v>
      </c>
      <c r="AB111" s="7" t="s">
        <v>287</v>
      </c>
      <c r="AC111" s="6"/>
    </row>
    <row r="112">
      <c r="A112" s="4" t="str">
        <f t="shared" si="1"/>
        <v>111</v>
      </c>
      <c r="B112" s="7" t="s">
        <v>424</v>
      </c>
      <c r="C112" s="7" t="s">
        <v>425</v>
      </c>
      <c r="D112" s="7" t="s">
        <v>407</v>
      </c>
      <c r="E112" s="7" t="s">
        <v>408</v>
      </c>
      <c r="F112" s="7" t="s">
        <v>32</v>
      </c>
      <c r="G112" s="7" t="s">
        <v>166</v>
      </c>
      <c r="H112" s="7" t="s">
        <v>34</v>
      </c>
      <c r="I112" s="7" t="s">
        <v>83</v>
      </c>
      <c r="J112" s="7" t="s">
        <v>167</v>
      </c>
      <c r="K112" s="7" t="s">
        <v>410</v>
      </c>
      <c r="L112" s="7" t="s">
        <v>227</v>
      </c>
      <c r="M112" s="7">
        <v>486000.0</v>
      </c>
      <c r="N112" s="7" t="s">
        <v>122</v>
      </c>
      <c r="O112" s="7" t="s">
        <v>58</v>
      </c>
      <c r="P112" s="7" t="s">
        <v>189</v>
      </c>
      <c r="Q112" s="7" t="s">
        <v>42</v>
      </c>
      <c r="R112" s="7" t="s">
        <v>283</v>
      </c>
      <c r="S112" s="7" t="s">
        <v>329</v>
      </c>
      <c r="T112" s="7" t="s">
        <v>45</v>
      </c>
      <c r="U112" s="7" t="s">
        <v>125</v>
      </c>
      <c r="V112" s="7" t="s">
        <v>284</v>
      </c>
      <c r="W112" s="7" t="s">
        <v>285</v>
      </c>
      <c r="X112" s="7" t="s">
        <v>48</v>
      </c>
      <c r="Y112" s="7" t="s">
        <v>291</v>
      </c>
      <c r="Z112" s="7" t="s">
        <v>215</v>
      </c>
      <c r="AA112" s="7" t="s">
        <v>412</v>
      </c>
      <c r="AB112" s="7" t="s">
        <v>144</v>
      </c>
      <c r="AC112" s="6"/>
    </row>
    <row r="113">
      <c r="A113" s="4" t="str">
        <f t="shared" si="1"/>
        <v>112</v>
      </c>
      <c r="B113" s="7" t="s">
        <v>411</v>
      </c>
      <c r="C113" s="7" t="s">
        <v>426</v>
      </c>
      <c r="D113" s="7" t="s">
        <v>407</v>
      </c>
      <c r="E113" s="7" t="s">
        <v>408</v>
      </c>
      <c r="F113" s="7" t="s">
        <v>32</v>
      </c>
      <c r="G113" s="7" t="s">
        <v>166</v>
      </c>
      <c r="H113" s="7" t="s">
        <v>409</v>
      </c>
      <c r="I113" s="7" t="s">
        <v>75</v>
      </c>
      <c r="J113" s="7" t="s">
        <v>36</v>
      </c>
      <c r="K113" s="7" t="s">
        <v>410</v>
      </c>
      <c r="L113" s="7" t="s">
        <v>211</v>
      </c>
      <c r="M113" s="7">
        <v>398000.0</v>
      </c>
      <c r="N113" s="7" t="s">
        <v>122</v>
      </c>
      <c r="O113" s="7" t="s">
        <v>282</v>
      </c>
      <c r="P113" s="7" t="s">
        <v>189</v>
      </c>
      <c r="Q113" s="7" t="s">
        <v>42</v>
      </c>
      <c r="R113" s="7" t="s">
        <v>283</v>
      </c>
      <c r="S113" s="7" t="s">
        <v>170</v>
      </c>
      <c r="T113" s="7" t="s">
        <v>45</v>
      </c>
      <c r="U113" s="7" t="s">
        <v>125</v>
      </c>
      <c r="V113" s="7" t="s">
        <v>284</v>
      </c>
      <c r="W113" s="7" t="s">
        <v>285</v>
      </c>
      <c r="X113" s="7" t="s">
        <v>48</v>
      </c>
      <c r="Y113" s="7" t="s">
        <v>291</v>
      </c>
      <c r="Z113" s="7" t="s">
        <v>215</v>
      </c>
      <c r="AA113" s="7" t="s">
        <v>412</v>
      </c>
      <c r="AB113" s="7" t="s">
        <v>144</v>
      </c>
      <c r="AC113" s="6"/>
    </row>
    <row r="114">
      <c r="A114" s="4" t="str">
        <f t="shared" si="1"/>
        <v>113</v>
      </c>
      <c r="B114" s="7" t="s">
        <v>427</v>
      </c>
      <c r="C114" s="7" t="s">
        <v>428</v>
      </c>
      <c r="D114" s="7" t="s">
        <v>407</v>
      </c>
      <c r="E114" s="7" t="s">
        <v>408</v>
      </c>
      <c r="F114" s="7" t="s">
        <v>294</v>
      </c>
      <c r="G114" s="7" t="s">
        <v>166</v>
      </c>
      <c r="H114" s="7" t="s">
        <v>34</v>
      </c>
      <c r="I114" s="7" t="s">
        <v>75</v>
      </c>
      <c r="J114" s="7" t="s">
        <v>219</v>
      </c>
      <c r="K114" s="7" t="s">
        <v>410</v>
      </c>
      <c r="L114" s="7" t="s">
        <v>281</v>
      </c>
      <c r="M114" s="7">
        <v>643000.0</v>
      </c>
      <c r="N114" s="7" t="s">
        <v>122</v>
      </c>
      <c r="O114" s="7" t="s">
        <v>58</v>
      </c>
      <c r="P114" s="7" t="s">
        <v>69</v>
      </c>
      <c r="Q114" s="7" t="s">
        <v>42</v>
      </c>
      <c r="R114" s="7" t="s">
        <v>423</v>
      </c>
      <c r="S114" s="7" t="s">
        <v>143</v>
      </c>
      <c r="T114" s="7" t="s">
        <v>45</v>
      </c>
      <c r="U114" s="7" t="s">
        <v>125</v>
      </c>
      <c r="V114" s="7" t="s">
        <v>284</v>
      </c>
      <c r="W114" s="7" t="s">
        <v>285</v>
      </c>
      <c r="X114" s="7" t="s">
        <v>321</v>
      </c>
      <c r="Y114" s="7" t="s">
        <v>172</v>
      </c>
      <c r="Z114" s="7" t="s">
        <v>220</v>
      </c>
      <c r="AA114" s="7" t="s">
        <v>412</v>
      </c>
      <c r="AB114" s="7" t="s">
        <v>144</v>
      </c>
      <c r="AC114" s="6"/>
    </row>
    <row r="115">
      <c r="A115" s="4" t="str">
        <f t="shared" si="1"/>
        <v>114</v>
      </c>
      <c r="B115" s="7" t="s">
        <v>429</v>
      </c>
      <c r="C115" s="7" t="s">
        <v>430</v>
      </c>
      <c r="D115" s="7" t="s">
        <v>407</v>
      </c>
      <c r="E115" s="7" t="s">
        <v>408</v>
      </c>
      <c r="F115" s="7" t="s">
        <v>294</v>
      </c>
      <c r="G115" s="7" t="s">
        <v>166</v>
      </c>
      <c r="H115" s="7" t="s">
        <v>409</v>
      </c>
      <c r="I115" s="7" t="s">
        <v>83</v>
      </c>
      <c r="J115" s="7" t="s">
        <v>219</v>
      </c>
      <c r="K115" s="7" t="s">
        <v>410</v>
      </c>
      <c r="L115" s="7" t="s">
        <v>211</v>
      </c>
      <c r="M115" s="7">
        <v>316000.0</v>
      </c>
      <c r="N115" s="7" t="s">
        <v>122</v>
      </c>
      <c r="O115" s="7" t="s">
        <v>282</v>
      </c>
      <c r="P115" s="7" t="s">
        <v>189</v>
      </c>
      <c r="Q115" s="7" t="s">
        <v>42</v>
      </c>
      <c r="R115" s="7" t="s">
        <v>283</v>
      </c>
      <c r="S115" s="7" t="s">
        <v>108</v>
      </c>
      <c r="T115" s="7" t="s">
        <v>45</v>
      </c>
      <c r="U115" s="7" t="s">
        <v>125</v>
      </c>
      <c r="V115" s="7" t="s">
        <v>284</v>
      </c>
      <c r="W115" s="7" t="s">
        <v>285</v>
      </c>
      <c r="X115" s="7" t="s">
        <v>48</v>
      </c>
      <c r="Y115" s="7" t="s">
        <v>172</v>
      </c>
      <c r="Z115" s="7" t="s">
        <v>220</v>
      </c>
      <c r="AA115" s="7" t="s">
        <v>412</v>
      </c>
      <c r="AB115" s="7" t="s">
        <v>144</v>
      </c>
      <c r="AC115" s="6"/>
    </row>
    <row r="116">
      <c r="A116" s="4" t="str">
        <f t="shared" si="1"/>
        <v>115</v>
      </c>
      <c r="B116" s="7" t="s">
        <v>431</v>
      </c>
      <c r="C116" s="7" t="s">
        <v>432</v>
      </c>
      <c r="D116" s="7" t="s">
        <v>15</v>
      </c>
      <c r="E116" s="7" t="s">
        <v>433</v>
      </c>
      <c r="F116" s="7" t="s">
        <v>55</v>
      </c>
      <c r="G116" s="7" t="s">
        <v>82</v>
      </c>
      <c r="H116" s="7" t="s">
        <v>115</v>
      </c>
      <c r="I116" s="7" t="s">
        <v>83</v>
      </c>
      <c r="J116" s="7" t="s">
        <v>36</v>
      </c>
      <c r="K116" s="7" t="s">
        <v>434</v>
      </c>
      <c r="L116" s="7" t="s">
        <v>281</v>
      </c>
      <c r="M116" s="7">
        <v>408000.0</v>
      </c>
      <c r="N116" s="7" t="s">
        <v>39</v>
      </c>
      <c r="O116" s="7" t="s">
        <v>40</v>
      </c>
      <c r="P116" s="7" t="s">
        <v>84</v>
      </c>
      <c r="Q116" s="7" t="s">
        <v>42</v>
      </c>
      <c r="R116" s="7" t="s">
        <v>435</v>
      </c>
      <c r="S116" s="7" t="s">
        <v>116</v>
      </c>
      <c r="T116" s="7" t="s">
        <v>45</v>
      </c>
      <c r="U116" s="7" t="s">
        <v>58</v>
      </c>
      <c r="V116" s="7" t="s">
        <v>46</v>
      </c>
      <c r="W116" s="7" t="s">
        <v>47</v>
      </c>
      <c r="X116" s="7" t="s">
        <v>48</v>
      </c>
      <c r="Y116" s="7" t="s">
        <v>49</v>
      </c>
      <c r="Z116" s="7" t="s">
        <v>95</v>
      </c>
      <c r="AA116" s="7" t="s">
        <v>436</v>
      </c>
      <c r="AB116" s="7" t="s">
        <v>437</v>
      </c>
      <c r="AC116" s="6"/>
    </row>
    <row r="117">
      <c r="A117" s="4" t="str">
        <f t="shared" si="1"/>
        <v>116</v>
      </c>
      <c r="B117" s="7" t="s">
        <v>438</v>
      </c>
      <c r="C117" s="7" t="s">
        <v>439</v>
      </c>
      <c r="D117" s="7" t="s">
        <v>15</v>
      </c>
      <c r="E117" s="7" t="s">
        <v>433</v>
      </c>
      <c r="F117" s="7" t="s">
        <v>55</v>
      </c>
      <c r="G117" s="7" t="s">
        <v>74</v>
      </c>
      <c r="H117" s="7" t="s">
        <v>65</v>
      </c>
      <c r="I117" s="7" t="s">
        <v>75</v>
      </c>
      <c r="J117" s="7" t="s">
        <v>209</v>
      </c>
      <c r="K117" s="7" t="s">
        <v>434</v>
      </c>
      <c r="L117" s="7" t="s">
        <v>211</v>
      </c>
      <c r="M117" s="7">
        <v>442000.0</v>
      </c>
      <c r="N117" s="7" t="s">
        <v>39</v>
      </c>
      <c r="O117" s="7" t="s">
        <v>40</v>
      </c>
      <c r="P117" s="7" t="s">
        <v>69</v>
      </c>
      <c r="Q117" s="7" t="s">
        <v>42</v>
      </c>
      <c r="R117" s="7" t="s">
        <v>440</v>
      </c>
      <c r="S117" s="7" t="s">
        <v>267</v>
      </c>
      <c r="T117" s="7" t="s">
        <v>45</v>
      </c>
      <c r="U117" s="7" t="s">
        <v>40</v>
      </c>
      <c r="V117" s="7" t="s">
        <v>46</v>
      </c>
      <c r="W117" s="7" t="s">
        <v>47</v>
      </c>
      <c r="X117" s="7" t="s">
        <v>48</v>
      </c>
      <c r="Y117" s="7" t="s">
        <v>86</v>
      </c>
      <c r="Z117" s="7" t="s">
        <v>60</v>
      </c>
      <c r="AA117" s="7" t="s">
        <v>436</v>
      </c>
      <c r="AB117" s="7" t="s">
        <v>79</v>
      </c>
      <c r="AC117" s="6"/>
    </row>
    <row r="118">
      <c r="A118" s="4" t="str">
        <f t="shared" si="1"/>
        <v>117</v>
      </c>
      <c r="B118" s="7" t="s">
        <v>441</v>
      </c>
      <c r="C118" s="7" t="s">
        <v>442</v>
      </c>
      <c r="D118" s="7" t="s">
        <v>15</v>
      </c>
      <c r="E118" s="7" t="s">
        <v>433</v>
      </c>
      <c r="F118" s="7" t="s">
        <v>98</v>
      </c>
      <c r="G118" s="7" t="s">
        <v>33</v>
      </c>
      <c r="H118" s="7" t="s">
        <v>65</v>
      </c>
      <c r="I118" s="7" t="s">
        <v>35</v>
      </c>
      <c r="J118" s="7" t="s">
        <v>209</v>
      </c>
      <c r="K118" s="7" t="s">
        <v>434</v>
      </c>
      <c r="L118" s="7" t="s">
        <v>142</v>
      </c>
      <c r="M118" s="7">
        <v>405000.0</v>
      </c>
      <c r="N118" s="7" t="s">
        <v>39</v>
      </c>
      <c r="O118" s="7" t="s">
        <v>40</v>
      </c>
      <c r="P118" s="7" t="s">
        <v>84</v>
      </c>
      <c r="Q118" s="7" t="s">
        <v>42</v>
      </c>
      <c r="R118" s="7" t="s">
        <v>440</v>
      </c>
      <c r="S118" s="7" t="s">
        <v>44</v>
      </c>
      <c r="T118" s="7" t="s">
        <v>78</v>
      </c>
      <c r="U118" s="7" t="s">
        <v>58</v>
      </c>
      <c r="V118" s="7" t="s">
        <v>46</v>
      </c>
      <c r="W118" s="7" t="s">
        <v>47</v>
      </c>
      <c r="X118" s="7" t="s">
        <v>48</v>
      </c>
      <c r="Y118" s="7" t="s">
        <v>86</v>
      </c>
      <c r="Z118" s="7" t="s">
        <v>220</v>
      </c>
      <c r="AA118" s="7" t="s">
        <v>436</v>
      </c>
      <c r="AB118" s="7" t="s">
        <v>79</v>
      </c>
      <c r="AC118" s="6"/>
    </row>
    <row r="119">
      <c r="A119" s="4" t="str">
        <f t="shared" si="1"/>
        <v>118</v>
      </c>
      <c r="B119" s="7" t="s">
        <v>443</v>
      </c>
      <c r="C119" s="7" t="s">
        <v>444</v>
      </c>
      <c r="D119" s="7" t="s">
        <v>15</v>
      </c>
      <c r="E119" s="7" t="s">
        <v>433</v>
      </c>
      <c r="F119" s="7" t="s">
        <v>32</v>
      </c>
      <c r="G119" s="7" t="s">
        <v>82</v>
      </c>
      <c r="H119" s="7" t="s">
        <v>34</v>
      </c>
      <c r="I119" s="7" t="s">
        <v>83</v>
      </c>
      <c r="J119" s="7" t="s">
        <v>36</v>
      </c>
      <c r="K119" s="7" t="s">
        <v>434</v>
      </c>
      <c r="L119" s="7" t="s">
        <v>348</v>
      </c>
      <c r="M119" s="7">
        <v>445000.0</v>
      </c>
      <c r="N119" s="7" t="s">
        <v>39</v>
      </c>
      <c r="O119" s="7" t="s">
        <v>58</v>
      </c>
      <c r="P119" s="7" t="s">
        <v>69</v>
      </c>
      <c r="Q119" s="7" t="s">
        <v>42</v>
      </c>
      <c r="R119" s="7" t="s">
        <v>435</v>
      </c>
      <c r="S119" s="7" t="s">
        <v>92</v>
      </c>
      <c r="T119" s="7" t="s">
        <v>45</v>
      </c>
      <c r="U119" s="7" t="s">
        <v>40</v>
      </c>
      <c r="V119" s="7" t="s">
        <v>46</v>
      </c>
      <c r="W119" s="7" t="s">
        <v>47</v>
      </c>
      <c r="X119" s="7" t="s">
        <v>48</v>
      </c>
      <c r="Y119" s="7" t="s">
        <v>59</v>
      </c>
      <c r="Z119" s="7" t="s">
        <v>445</v>
      </c>
      <c r="AA119" s="7" t="s">
        <v>446</v>
      </c>
      <c r="AB119" s="7" t="s">
        <v>79</v>
      </c>
      <c r="AC119" s="6"/>
    </row>
    <row r="120">
      <c r="A120" s="4" t="str">
        <f t="shared" si="1"/>
        <v>119</v>
      </c>
      <c r="B120" s="7" t="s">
        <v>447</v>
      </c>
      <c r="C120" s="7" t="s">
        <v>448</v>
      </c>
      <c r="D120" s="7" t="s">
        <v>15</v>
      </c>
      <c r="E120" s="7" t="s">
        <v>433</v>
      </c>
      <c r="F120" s="7" t="s">
        <v>98</v>
      </c>
      <c r="G120" s="7" t="s">
        <v>33</v>
      </c>
      <c r="H120" s="7" t="s">
        <v>65</v>
      </c>
      <c r="I120" s="7" t="s">
        <v>35</v>
      </c>
      <c r="J120" s="7" t="s">
        <v>36</v>
      </c>
      <c r="K120" s="7" t="s">
        <v>434</v>
      </c>
      <c r="L120" s="7" t="s">
        <v>281</v>
      </c>
      <c r="M120" s="7">
        <v>521000.0</v>
      </c>
      <c r="N120" s="7" t="s">
        <v>39</v>
      </c>
      <c r="O120" s="7" t="s">
        <v>58</v>
      </c>
      <c r="P120" s="7" t="s">
        <v>84</v>
      </c>
      <c r="Q120" s="7" t="s">
        <v>42</v>
      </c>
      <c r="R120" s="7" t="s">
        <v>440</v>
      </c>
      <c r="S120" s="7" t="s">
        <v>147</v>
      </c>
      <c r="T120" s="7" t="s">
        <v>45</v>
      </c>
      <c r="U120" s="7" t="s">
        <v>58</v>
      </c>
      <c r="V120" s="7" t="s">
        <v>46</v>
      </c>
      <c r="W120" s="7" t="s">
        <v>47</v>
      </c>
      <c r="X120" s="7" t="s">
        <v>48</v>
      </c>
      <c r="Y120" s="7" t="s">
        <v>49</v>
      </c>
      <c r="Z120" s="7" t="s">
        <v>95</v>
      </c>
      <c r="AA120" s="7" t="s">
        <v>436</v>
      </c>
      <c r="AB120" s="7" t="s">
        <v>437</v>
      </c>
      <c r="AC120" s="6"/>
    </row>
    <row r="121">
      <c r="A121" s="4" t="str">
        <f t="shared" si="1"/>
        <v>120</v>
      </c>
      <c r="B121" s="7" t="s">
        <v>449</v>
      </c>
      <c r="C121" s="7" t="s">
        <v>450</v>
      </c>
      <c r="D121" s="7" t="s">
        <v>15</v>
      </c>
      <c r="E121" s="7" t="s">
        <v>433</v>
      </c>
      <c r="F121" s="7" t="s">
        <v>55</v>
      </c>
      <c r="G121" s="7" t="s">
        <v>82</v>
      </c>
      <c r="H121" s="7" t="s">
        <v>34</v>
      </c>
      <c r="I121" s="7" t="s">
        <v>104</v>
      </c>
      <c r="J121" s="7" t="s">
        <v>36</v>
      </c>
      <c r="K121" s="7" t="s">
        <v>434</v>
      </c>
      <c r="L121" s="7" t="s">
        <v>142</v>
      </c>
      <c r="M121" s="7">
        <v>309000.0</v>
      </c>
      <c r="N121" s="7" t="s">
        <v>39</v>
      </c>
      <c r="O121" s="7" t="s">
        <v>58</v>
      </c>
      <c r="P121" s="7" t="s">
        <v>69</v>
      </c>
      <c r="Q121" s="7" t="s">
        <v>42</v>
      </c>
      <c r="R121" s="7" t="s">
        <v>440</v>
      </c>
      <c r="S121" s="7" t="s">
        <v>116</v>
      </c>
      <c r="T121" s="7" t="s">
        <v>45</v>
      </c>
      <c r="U121" s="7" t="s">
        <v>125</v>
      </c>
      <c r="V121" s="7" t="s">
        <v>46</v>
      </c>
      <c r="W121" s="7" t="s">
        <v>47</v>
      </c>
      <c r="X121" s="7" t="s">
        <v>48</v>
      </c>
      <c r="Y121" s="7" t="s">
        <v>49</v>
      </c>
      <c r="Z121" s="7" t="s">
        <v>95</v>
      </c>
      <c r="AA121" s="7" t="s">
        <v>436</v>
      </c>
      <c r="AB121" s="7" t="s">
        <v>79</v>
      </c>
      <c r="AC121" s="6"/>
    </row>
    <row r="122">
      <c r="A122" s="4" t="str">
        <f t="shared" si="1"/>
        <v>121</v>
      </c>
      <c r="B122" s="7" t="s">
        <v>451</v>
      </c>
      <c r="C122" s="7" t="s">
        <v>452</v>
      </c>
      <c r="D122" s="7" t="s">
        <v>15</v>
      </c>
      <c r="E122" s="7" t="s">
        <v>433</v>
      </c>
      <c r="F122" s="7" t="s">
        <v>55</v>
      </c>
      <c r="G122" s="7" t="s">
        <v>82</v>
      </c>
      <c r="H122" s="7" t="s">
        <v>65</v>
      </c>
      <c r="I122" s="7" t="s">
        <v>75</v>
      </c>
      <c r="J122" s="7" t="s">
        <v>36</v>
      </c>
      <c r="K122" s="7" t="s">
        <v>37</v>
      </c>
      <c r="L122" s="7" t="s">
        <v>68</v>
      </c>
      <c r="M122" s="7">
        <v>328000.0</v>
      </c>
      <c r="N122" s="7" t="s">
        <v>39</v>
      </c>
      <c r="O122" s="7" t="s">
        <v>58</v>
      </c>
      <c r="P122" s="7" t="s">
        <v>69</v>
      </c>
      <c r="Q122" s="7" t="s">
        <v>42</v>
      </c>
      <c r="R122" s="7" t="s">
        <v>435</v>
      </c>
      <c r="S122" s="7" t="s">
        <v>92</v>
      </c>
      <c r="T122" s="7" t="s">
        <v>45</v>
      </c>
      <c r="U122" s="7" t="s">
        <v>58</v>
      </c>
      <c r="V122" s="7" t="s">
        <v>46</v>
      </c>
      <c r="W122" s="7" t="s">
        <v>47</v>
      </c>
      <c r="X122" s="7" t="s">
        <v>48</v>
      </c>
      <c r="Y122" s="7" t="s">
        <v>59</v>
      </c>
      <c r="Z122" s="7" t="s">
        <v>95</v>
      </c>
      <c r="AA122" s="7" t="s">
        <v>436</v>
      </c>
      <c r="AB122" s="7" t="s">
        <v>62</v>
      </c>
      <c r="AC122" s="6"/>
    </row>
    <row r="123">
      <c r="A123" s="4" t="str">
        <f t="shared" si="1"/>
        <v>122</v>
      </c>
      <c r="B123" s="7" t="s">
        <v>453</v>
      </c>
      <c r="C123" s="7" t="s">
        <v>454</v>
      </c>
      <c r="D123" s="7" t="s">
        <v>15</v>
      </c>
      <c r="E123" s="7" t="s">
        <v>433</v>
      </c>
      <c r="F123" s="7" t="s">
        <v>32</v>
      </c>
      <c r="G123" s="7" t="s">
        <v>33</v>
      </c>
      <c r="H123" s="7" t="s">
        <v>115</v>
      </c>
      <c r="I123" s="7" t="s">
        <v>75</v>
      </c>
      <c r="J123" s="7" t="s">
        <v>209</v>
      </c>
      <c r="K123" s="7" t="s">
        <v>121</v>
      </c>
      <c r="L123" s="7" t="s">
        <v>142</v>
      </c>
      <c r="M123" s="7">
        <v>720000.0</v>
      </c>
      <c r="N123" s="7" t="s">
        <v>39</v>
      </c>
      <c r="O123" s="7" t="s">
        <v>105</v>
      </c>
      <c r="P123" s="7" t="s">
        <v>84</v>
      </c>
      <c r="Q123" s="7" t="s">
        <v>42</v>
      </c>
      <c r="R123" s="7" t="s">
        <v>435</v>
      </c>
      <c r="S123" s="7" t="s">
        <v>147</v>
      </c>
      <c r="T123" s="7" t="s">
        <v>45</v>
      </c>
      <c r="U123" s="7" t="s">
        <v>125</v>
      </c>
      <c r="V123" s="7" t="s">
        <v>46</v>
      </c>
      <c r="W123" s="7" t="s">
        <v>47</v>
      </c>
      <c r="X123" s="7" t="s">
        <v>48</v>
      </c>
      <c r="Y123" s="7" t="s">
        <v>59</v>
      </c>
      <c r="Z123" s="7" t="s">
        <v>95</v>
      </c>
      <c r="AA123" s="7" t="s">
        <v>436</v>
      </c>
      <c r="AB123" s="7" t="s">
        <v>62</v>
      </c>
      <c r="AC123" s="6"/>
    </row>
    <row r="124">
      <c r="A124" s="4" t="str">
        <f t="shared" si="1"/>
        <v>123</v>
      </c>
      <c r="B124" s="7" t="s">
        <v>455</v>
      </c>
      <c r="C124" s="7" t="s">
        <v>456</v>
      </c>
      <c r="D124" s="7" t="s">
        <v>15</v>
      </c>
      <c r="E124" s="7" t="s">
        <v>433</v>
      </c>
      <c r="F124" s="7" t="s">
        <v>55</v>
      </c>
      <c r="G124" s="7" t="s">
        <v>33</v>
      </c>
      <c r="H124" s="7" t="s">
        <v>34</v>
      </c>
      <c r="I124" s="7" t="s">
        <v>35</v>
      </c>
      <c r="J124" s="7" t="s">
        <v>36</v>
      </c>
      <c r="K124" s="7" t="s">
        <v>434</v>
      </c>
      <c r="L124" s="7" t="s">
        <v>38</v>
      </c>
      <c r="M124" s="7">
        <v>470000.0</v>
      </c>
      <c r="N124" s="7" t="s">
        <v>39</v>
      </c>
      <c r="O124" s="7" t="s">
        <v>105</v>
      </c>
      <c r="P124" s="7" t="s">
        <v>84</v>
      </c>
      <c r="Q124" s="7" t="s">
        <v>42</v>
      </c>
      <c r="R124" s="7" t="s">
        <v>440</v>
      </c>
      <c r="S124" s="7" t="s">
        <v>108</v>
      </c>
      <c r="T124" s="7" t="s">
        <v>45</v>
      </c>
      <c r="U124" s="7" t="s">
        <v>58</v>
      </c>
      <c r="V124" s="7" t="s">
        <v>46</v>
      </c>
      <c r="W124" s="7" t="s">
        <v>47</v>
      </c>
      <c r="X124" s="7" t="s">
        <v>48</v>
      </c>
      <c r="Y124" s="7" t="s">
        <v>49</v>
      </c>
      <c r="Z124" s="7" t="s">
        <v>95</v>
      </c>
      <c r="AA124" s="7" t="s">
        <v>436</v>
      </c>
      <c r="AB124" s="7" t="s">
        <v>62</v>
      </c>
      <c r="AC124" s="6"/>
    </row>
    <row r="125">
      <c r="A125" s="4" t="str">
        <f t="shared" si="1"/>
        <v>124</v>
      </c>
      <c r="B125" s="7" t="s">
        <v>457</v>
      </c>
      <c r="C125" s="7" t="s">
        <v>458</v>
      </c>
      <c r="D125" s="7" t="s">
        <v>15</v>
      </c>
      <c r="E125" s="7" t="s">
        <v>433</v>
      </c>
      <c r="F125" s="7" t="s">
        <v>98</v>
      </c>
      <c r="G125" s="7" t="s">
        <v>33</v>
      </c>
      <c r="H125" s="7" t="s">
        <v>65</v>
      </c>
      <c r="I125" s="7" t="s">
        <v>75</v>
      </c>
      <c r="J125" s="7" t="s">
        <v>209</v>
      </c>
      <c r="K125" s="7" t="s">
        <v>434</v>
      </c>
      <c r="L125" s="7" t="s">
        <v>142</v>
      </c>
      <c r="M125" s="7">
        <v>590000.0</v>
      </c>
      <c r="N125" s="7" t="s">
        <v>39</v>
      </c>
      <c r="O125" s="7" t="s">
        <v>58</v>
      </c>
      <c r="P125" s="7" t="s">
        <v>84</v>
      </c>
      <c r="Q125" s="7" t="s">
        <v>42</v>
      </c>
      <c r="R125" s="7" t="s">
        <v>440</v>
      </c>
      <c r="S125" s="7" t="s">
        <v>267</v>
      </c>
      <c r="T125" s="7" t="s">
        <v>45</v>
      </c>
      <c r="U125" s="7" t="s">
        <v>125</v>
      </c>
      <c r="V125" s="7" t="s">
        <v>46</v>
      </c>
      <c r="W125" s="7" t="s">
        <v>47</v>
      </c>
      <c r="X125" s="7" t="s">
        <v>48</v>
      </c>
      <c r="Y125" s="7" t="s">
        <v>59</v>
      </c>
      <c r="Z125" s="7" t="s">
        <v>95</v>
      </c>
      <c r="AA125" s="7" t="s">
        <v>436</v>
      </c>
      <c r="AB125" s="7" t="s">
        <v>62</v>
      </c>
      <c r="AC125" s="6"/>
    </row>
    <row r="126">
      <c r="A126" s="4" t="str">
        <f t="shared" si="1"/>
        <v>125</v>
      </c>
      <c r="B126" s="7" t="s">
        <v>459</v>
      </c>
      <c r="C126" s="7" t="s">
        <v>460</v>
      </c>
      <c r="D126" s="7" t="s">
        <v>461</v>
      </c>
      <c r="E126" s="7" t="s">
        <v>462</v>
      </c>
      <c r="F126" s="7" t="s">
        <v>55</v>
      </c>
      <c r="G126" s="7" t="s">
        <v>33</v>
      </c>
      <c r="H126" s="7" t="s">
        <v>65</v>
      </c>
      <c r="I126" s="7" t="s">
        <v>83</v>
      </c>
      <c r="J126" s="7" t="s">
        <v>67</v>
      </c>
      <c r="K126" s="7" t="s">
        <v>91</v>
      </c>
      <c r="L126" s="7" t="s">
        <v>38</v>
      </c>
      <c r="M126" s="7">
        <v>1468000.0</v>
      </c>
      <c r="N126" s="7" t="s">
        <v>463</v>
      </c>
      <c r="O126" s="7" t="s">
        <v>105</v>
      </c>
      <c r="P126" s="7" t="s">
        <v>84</v>
      </c>
      <c r="Q126" s="7" t="s">
        <v>42</v>
      </c>
      <c r="R126" s="7" t="s">
        <v>464</v>
      </c>
      <c r="S126" s="7" t="s">
        <v>108</v>
      </c>
      <c r="T126" s="7" t="s">
        <v>45</v>
      </c>
      <c r="U126" s="7" t="s">
        <v>58</v>
      </c>
      <c r="V126" s="7" t="s">
        <v>465</v>
      </c>
      <c r="W126" s="7" t="s">
        <v>47</v>
      </c>
      <c r="X126" s="7" t="s">
        <v>48</v>
      </c>
      <c r="Y126" s="7" t="s">
        <v>49</v>
      </c>
      <c r="Z126" s="7" t="s">
        <v>466</v>
      </c>
      <c r="AA126" s="7" t="s">
        <v>467</v>
      </c>
      <c r="AB126" s="7" t="s">
        <v>468</v>
      </c>
      <c r="AC126" s="6"/>
    </row>
    <row r="127">
      <c r="A127" s="4" t="str">
        <f t="shared" si="1"/>
        <v>126</v>
      </c>
      <c r="B127" s="7" t="s">
        <v>469</v>
      </c>
      <c r="C127" s="7" t="s">
        <v>470</v>
      </c>
      <c r="D127" s="7" t="s">
        <v>461</v>
      </c>
      <c r="E127" s="7" t="s">
        <v>462</v>
      </c>
      <c r="F127" s="7" t="s">
        <v>32</v>
      </c>
      <c r="G127" s="7" t="s">
        <v>82</v>
      </c>
      <c r="H127" s="7" t="s">
        <v>34</v>
      </c>
      <c r="I127" s="7" t="s">
        <v>83</v>
      </c>
      <c r="J127" s="7" t="s">
        <v>67</v>
      </c>
      <c r="K127" s="7" t="s">
        <v>91</v>
      </c>
      <c r="L127" s="7" t="s">
        <v>142</v>
      </c>
      <c r="M127" s="7">
        <v>628000.0</v>
      </c>
      <c r="N127" s="7" t="s">
        <v>463</v>
      </c>
      <c r="O127" s="7" t="s">
        <v>40</v>
      </c>
      <c r="P127" s="7" t="s">
        <v>84</v>
      </c>
      <c r="Q127" s="7" t="s">
        <v>42</v>
      </c>
      <c r="R127" s="7" t="s">
        <v>471</v>
      </c>
      <c r="S127" s="7" t="s">
        <v>116</v>
      </c>
      <c r="T127" s="7" t="s">
        <v>45</v>
      </c>
      <c r="U127" s="7" t="s">
        <v>40</v>
      </c>
      <c r="V127" s="7" t="s">
        <v>46</v>
      </c>
      <c r="W127" s="7" t="s">
        <v>47</v>
      </c>
      <c r="X127" s="7" t="s">
        <v>48</v>
      </c>
      <c r="Y127" s="7" t="s">
        <v>49</v>
      </c>
      <c r="Z127" s="7" t="s">
        <v>466</v>
      </c>
      <c r="AA127" s="7" t="s">
        <v>467</v>
      </c>
      <c r="AB127" s="7" t="s">
        <v>62</v>
      </c>
      <c r="AC127" s="6"/>
    </row>
    <row r="128">
      <c r="A128" s="4" t="str">
        <f t="shared" si="1"/>
        <v>127</v>
      </c>
      <c r="B128" s="7" t="s">
        <v>472</v>
      </c>
      <c r="C128" s="7" t="s">
        <v>473</v>
      </c>
      <c r="D128" s="7" t="s">
        <v>461</v>
      </c>
      <c r="E128" s="7" t="s">
        <v>462</v>
      </c>
      <c r="F128" s="7" t="s">
        <v>55</v>
      </c>
      <c r="G128" s="7" t="s">
        <v>33</v>
      </c>
      <c r="H128" s="7" t="s">
        <v>65</v>
      </c>
      <c r="I128" s="7" t="s">
        <v>83</v>
      </c>
      <c r="J128" s="7" t="s">
        <v>36</v>
      </c>
      <c r="K128" s="7" t="s">
        <v>91</v>
      </c>
      <c r="L128" s="7" t="s">
        <v>38</v>
      </c>
      <c r="M128" s="7">
        <v>1171000.0</v>
      </c>
      <c r="N128" s="7" t="s">
        <v>474</v>
      </c>
      <c r="O128" s="7" t="s">
        <v>58</v>
      </c>
      <c r="P128" s="7" t="s">
        <v>168</v>
      </c>
      <c r="Q128" s="7" t="s">
        <v>42</v>
      </c>
      <c r="R128" s="7" t="s">
        <v>464</v>
      </c>
      <c r="S128" s="7" t="s">
        <v>44</v>
      </c>
      <c r="T128" s="7" t="s">
        <v>45</v>
      </c>
      <c r="U128" s="7" t="s">
        <v>58</v>
      </c>
      <c r="V128" s="7" t="s">
        <v>475</v>
      </c>
      <c r="W128" s="7" t="s">
        <v>47</v>
      </c>
      <c r="X128" s="7" t="s">
        <v>48</v>
      </c>
      <c r="Y128" s="7" t="s">
        <v>59</v>
      </c>
      <c r="Z128" s="7" t="s">
        <v>476</v>
      </c>
      <c r="AA128" s="7" t="s">
        <v>467</v>
      </c>
      <c r="AB128" s="7" t="s">
        <v>79</v>
      </c>
      <c r="AC128" s="6"/>
    </row>
    <row r="129">
      <c r="A129" s="4" t="str">
        <f t="shared" si="1"/>
        <v>128</v>
      </c>
      <c r="B129" s="7" t="s">
        <v>477</v>
      </c>
      <c r="C129" s="7" t="s">
        <v>478</v>
      </c>
      <c r="D129" s="7" t="s">
        <v>461</v>
      </c>
      <c r="E129" s="7" t="s">
        <v>462</v>
      </c>
      <c r="F129" s="7" t="s">
        <v>32</v>
      </c>
      <c r="G129" s="7" t="s">
        <v>82</v>
      </c>
      <c r="H129" s="7" t="s">
        <v>34</v>
      </c>
      <c r="I129" s="7" t="s">
        <v>75</v>
      </c>
      <c r="J129" s="7" t="s">
        <v>36</v>
      </c>
      <c r="K129" s="7" t="s">
        <v>91</v>
      </c>
      <c r="L129" s="7" t="s">
        <v>38</v>
      </c>
      <c r="M129" s="7">
        <v>1132000.0</v>
      </c>
      <c r="N129" s="7" t="s">
        <v>474</v>
      </c>
      <c r="O129" s="7" t="s">
        <v>105</v>
      </c>
      <c r="P129" s="7" t="s">
        <v>69</v>
      </c>
      <c r="Q129" s="7" t="s">
        <v>42</v>
      </c>
      <c r="R129" s="7" t="s">
        <v>464</v>
      </c>
      <c r="S129" s="7" t="s">
        <v>85</v>
      </c>
      <c r="T129" s="7" t="s">
        <v>45</v>
      </c>
      <c r="U129" s="7" t="s">
        <v>58</v>
      </c>
      <c r="V129" s="7" t="s">
        <v>46</v>
      </c>
      <c r="W129" s="7" t="s">
        <v>47</v>
      </c>
      <c r="X129" s="7" t="s">
        <v>48</v>
      </c>
      <c r="Y129" s="7" t="s">
        <v>49</v>
      </c>
      <c r="Z129" s="7" t="s">
        <v>479</v>
      </c>
      <c r="AA129" s="7" t="s">
        <v>467</v>
      </c>
      <c r="AB129" s="7" t="s">
        <v>62</v>
      </c>
      <c r="AC129" s="6"/>
    </row>
    <row r="130">
      <c r="A130" s="4" t="str">
        <f t="shared" si="1"/>
        <v>129</v>
      </c>
      <c r="B130" s="7" t="s">
        <v>480</v>
      </c>
      <c r="C130" s="7" t="s">
        <v>481</v>
      </c>
      <c r="D130" s="7" t="s">
        <v>461</v>
      </c>
      <c r="E130" s="7" t="s">
        <v>462</v>
      </c>
      <c r="F130" s="7" t="s">
        <v>55</v>
      </c>
      <c r="G130" s="7" t="s">
        <v>33</v>
      </c>
      <c r="H130" s="7" t="s">
        <v>65</v>
      </c>
      <c r="I130" s="7" t="s">
        <v>83</v>
      </c>
      <c r="J130" s="7" t="s">
        <v>36</v>
      </c>
      <c r="K130" s="7" t="s">
        <v>91</v>
      </c>
      <c r="L130" s="7" t="s">
        <v>68</v>
      </c>
      <c r="M130" s="7">
        <v>506000.0</v>
      </c>
      <c r="N130" s="7" t="s">
        <v>39</v>
      </c>
      <c r="O130" s="7" t="s">
        <v>40</v>
      </c>
      <c r="P130" s="7" t="s">
        <v>84</v>
      </c>
      <c r="Q130" s="7" t="s">
        <v>42</v>
      </c>
      <c r="R130" s="7" t="s">
        <v>482</v>
      </c>
      <c r="S130" s="7" t="s">
        <v>99</v>
      </c>
      <c r="T130" s="7" t="s">
        <v>45</v>
      </c>
      <c r="U130" s="7" t="s">
        <v>58</v>
      </c>
      <c r="V130" s="7" t="s">
        <v>46</v>
      </c>
      <c r="W130" s="7" t="s">
        <v>47</v>
      </c>
      <c r="X130" s="7" t="s">
        <v>48</v>
      </c>
      <c r="Y130" s="7" t="s">
        <v>59</v>
      </c>
      <c r="Z130" s="7" t="s">
        <v>95</v>
      </c>
      <c r="AA130" s="7" t="s">
        <v>467</v>
      </c>
      <c r="AB130" s="7" t="s">
        <v>62</v>
      </c>
      <c r="AC130" s="6"/>
    </row>
    <row r="131">
      <c r="A131" s="4" t="str">
        <f t="shared" si="1"/>
        <v>130</v>
      </c>
      <c r="B131" s="7" t="s">
        <v>483</v>
      </c>
      <c r="C131" s="7" t="s">
        <v>484</v>
      </c>
      <c r="D131" s="7" t="s">
        <v>461</v>
      </c>
      <c r="E131" s="7" t="s">
        <v>462</v>
      </c>
      <c r="F131" s="7" t="s">
        <v>32</v>
      </c>
      <c r="G131" s="7" t="s">
        <v>33</v>
      </c>
      <c r="H131" s="7" t="s">
        <v>65</v>
      </c>
      <c r="I131" s="7" t="s">
        <v>104</v>
      </c>
      <c r="J131" s="7" t="s">
        <v>67</v>
      </c>
      <c r="K131" s="7" t="s">
        <v>91</v>
      </c>
      <c r="L131" s="7" t="s">
        <v>68</v>
      </c>
      <c r="M131" s="7">
        <v>1090000.0</v>
      </c>
      <c r="N131" s="7" t="s">
        <v>39</v>
      </c>
      <c r="O131" s="7" t="s">
        <v>58</v>
      </c>
      <c r="P131" s="7" t="s">
        <v>84</v>
      </c>
      <c r="Q131" s="7" t="s">
        <v>42</v>
      </c>
      <c r="R131" s="7" t="s">
        <v>464</v>
      </c>
      <c r="S131" s="7" t="s">
        <v>329</v>
      </c>
      <c r="T131" s="7" t="s">
        <v>45</v>
      </c>
      <c r="U131" s="7" t="s">
        <v>58</v>
      </c>
      <c r="V131" s="7" t="s">
        <v>46</v>
      </c>
      <c r="W131" s="7" t="s">
        <v>47</v>
      </c>
      <c r="X131" s="7" t="s">
        <v>48</v>
      </c>
      <c r="Y131" s="7" t="s">
        <v>49</v>
      </c>
      <c r="Z131" s="7" t="s">
        <v>95</v>
      </c>
      <c r="AA131" s="7" t="s">
        <v>467</v>
      </c>
      <c r="AB131" s="7" t="s">
        <v>62</v>
      </c>
      <c r="AC131" s="6"/>
    </row>
    <row r="132">
      <c r="A132" s="4" t="str">
        <f t="shared" si="1"/>
        <v>131</v>
      </c>
      <c r="B132" s="7" t="s">
        <v>485</v>
      </c>
      <c r="C132" s="7" t="s">
        <v>486</v>
      </c>
      <c r="D132" s="7" t="s">
        <v>461</v>
      </c>
      <c r="E132" s="7" t="s">
        <v>462</v>
      </c>
      <c r="F132" s="7" t="s">
        <v>55</v>
      </c>
      <c r="G132" s="7" t="s">
        <v>82</v>
      </c>
      <c r="H132" s="7" t="s">
        <v>34</v>
      </c>
      <c r="I132" s="7" t="s">
        <v>104</v>
      </c>
      <c r="J132" s="7" t="s">
        <v>36</v>
      </c>
      <c r="K132" s="7" t="s">
        <v>91</v>
      </c>
      <c r="L132" s="7" t="s">
        <v>68</v>
      </c>
      <c r="M132" s="7">
        <v>693000.0</v>
      </c>
      <c r="N132" s="7" t="s">
        <v>39</v>
      </c>
      <c r="O132" s="7" t="s">
        <v>58</v>
      </c>
      <c r="P132" s="7" t="s">
        <v>168</v>
      </c>
      <c r="Q132" s="7" t="s">
        <v>42</v>
      </c>
      <c r="R132" s="7" t="s">
        <v>464</v>
      </c>
      <c r="S132" s="7" t="s">
        <v>92</v>
      </c>
      <c r="T132" s="7" t="s">
        <v>45</v>
      </c>
      <c r="U132" s="7" t="s">
        <v>58</v>
      </c>
      <c r="V132" s="7" t="s">
        <v>46</v>
      </c>
      <c r="W132" s="7" t="s">
        <v>47</v>
      </c>
      <c r="X132" s="7" t="s">
        <v>48</v>
      </c>
      <c r="Y132" s="7" t="s">
        <v>86</v>
      </c>
      <c r="Z132" s="7" t="s">
        <v>95</v>
      </c>
      <c r="AA132" s="7" t="s">
        <v>467</v>
      </c>
      <c r="AB132" s="7" t="s">
        <v>79</v>
      </c>
      <c r="AC132" s="6"/>
    </row>
    <row r="133">
      <c r="A133" s="4" t="str">
        <f t="shared" si="1"/>
        <v>132</v>
      </c>
      <c r="B133" s="7" t="s">
        <v>487</v>
      </c>
      <c r="C133" s="7" t="s">
        <v>488</v>
      </c>
      <c r="D133" s="7" t="s">
        <v>461</v>
      </c>
      <c r="E133" s="7" t="s">
        <v>462</v>
      </c>
      <c r="F133" s="7" t="s">
        <v>55</v>
      </c>
      <c r="G133" s="7" t="s">
        <v>33</v>
      </c>
      <c r="H133" s="7" t="s">
        <v>65</v>
      </c>
      <c r="I133" s="7" t="s">
        <v>35</v>
      </c>
      <c r="J133" s="7" t="s">
        <v>67</v>
      </c>
      <c r="K133" s="7" t="s">
        <v>91</v>
      </c>
      <c r="L133" s="7" t="s">
        <v>38</v>
      </c>
      <c r="M133" s="7">
        <v>2047000.0</v>
      </c>
      <c r="N133" s="7" t="s">
        <v>39</v>
      </c>
      <c r="O133" s="7" t="s">
        <v>105</v>
      </c>
      <c r="P133" s="7" t="s">
        <v>41</v>
      </c>
      <c r="Q133" s="7" t="s">
        <v>42</v>
      </c>
      <c r="R133" s="7" t="s">
        <v>482</v>
      </c>
      <c r="S133" s="7" t="s">
        <v>143</v>
      </c>
      <c r="T133" s="7" t="s">
        <v>78</v>
      </c>
      <c r="U133" s="7" t="s">
        <v>40</v>
      </c>
      <c r="V133" s="7" t="s">
        <v>46</v>
      </c>
      <c r="W133" s="7" t="s">
        <v>47</v>
      </c>
      <c r="X133" s="7" t="s">
        <v>48</v>
      </c>
      <c r="Y133" s="7" t="s">
        <v>59</v>
      </c>
      <c r="Z133" s="7" t="s">
        <v>95</v>
      </c>
      <c r="AA133" s="7" t="s">
        <v>467</v>
      </c>
      <c r="AB133" s="7" t="s">
        <v>468</v>
      </c>
      <c r="AC133" s="6"/>
    </row>
    <row r="134">
      <c r="A134" s="4" t="str">
        <f t="shared" si="1"/>
        <v>133</v>
      </c>
      <c r="B134" s="7" t="s">
        <v>489</v>
      </c>
      <c r="C134" s="7" t="s">
        <v>490</v>
      </c>
      <c r="D134" s="7" t="s">
        <v>461</v>
      </c>
      <c r="E134" s="7" t="s">
        <v>462</v>
      </c>
      <c r="F134" s="7" t="s">
        <v>55</v>
      </c>
      <c r="G134" s="7" t="s">
        <v>82</v>
      </c>
      <c r="H134" s="7" t="s">
        <v>65</v>
      </c>
      <c r="I134" s="7" t="s">
        <v>83</v>
      </c>
      <c r="J134" s="7" t="s">
        <v>67</v>
      </c>
      <c r="K134" s="7" t="s">
        <v>91</v>
      </c>
      <c r="L134" s="7" t="s">
        <v>38</v>
      </c>
      <c r="M134" s="7">
        <v>991000.0</v>
      </c>
      <c r="N134" s="7" t="s">
        <v>474</v>
      </c>
      <c r="O134" s="7" t="s">
        <v>58</v>
      </c>
      <c r="P134" s="7" t="s">
        <v>168</v>
      </c>
      <c r="Q134" s="7" t="s">
        <v>42</v>
      </c>
      <c r="R134" s="7" t="s">
        <v>464</v>
      </c>
      <c r="S134" s="7" t="s">
        <v>85</v>
      </c>
      <c r="T134" s="7" t="s">
        <v>78</v>
      </c>
      <c r="U134" s="7" t="s">
        <v>40</v>
      </c>
      <c r="V134" s="7" t="s">
        <v>46</v>
      </c>
      <c r="W134" s="7" t="s">
        <v>47</v>
      </c>
      <c r="X134" s="7" t="s">
        <v>48</v>
      </c>
      <c r="Y134" s="7" t="s">
        <v>49</v>
      </c>
      <c r="Z134" s="7" t="s">
        <v>476</v>
      </c>
      <c r="AA134" s="7" t="s">
        <v>467</v>
      </c>
      <c r="AB134" s="7" t="s">
        <v>468</v>
      </c>
      <c r="AC134" s="6"/>
    </row>
    <row r="135">
      <c r="A135" s="4" t="str">
        <f t="shared" si="1"/>
        <v>134</v>
      </c>
      <c r="B135" s="7" t="s">
        <v>491</v>
      </c>
      <c r="C135" s="7" t="s">
        <v>492</v>
      </c>
      <c r="D135" s="7" t="s">
        <v>461</v>
      </c>
      <c r="E135" s="7" t="s">
        <v>462</v>
      </c>
      <c r="F135" s="7" t="s">
        <v>32</v>
      </c>
      <c r="G135" s="7" t="s">
        <v>82</v>
      </c>
      <c r="H135" s="7" t="s">
        <v>65</v>
      </c>
      <c r="I135" s="7" t="s">
        <v>83</v>
      </c>
      <c r="J135" s="7" t="s">
        <v>67</v>
      </c>
      <c r="K135" s="7" t="s">
        <v>91</v>
      </c>
      <c r="L135" s="7" t="s">
        <v>38</v>
      </c>
      <c r="M135" s="7">
        <v>791000.0</v>
      </c>
      <c r="N135" s="7" t="s">
        <v>39</v>
      </c>
      <c r="O135" s="7" t="s">
        <v>40</v>
      </c>
      <c r="P135" s="7" t="s">
        <v>189</v>
      </c>
      <c r="Q135" s="7" t="s">
        <v>42</v>
      </c>
      <c r="R135" s="7" t="s">
        <v>464</v>
      </c>
      <c r="S135" s="7" t="s">
        <v>116</v>
      </c>
      <c r="T135" s="7" t="s">
        <v>124</v>
      </c>
      <c r="U135" s="7" t="s">
        <v>40</v>
      </c>
      <c r="V135" s="7" t="s">
        <v>46</v>
      </c>
      <c r="W135" s="7" t="s">
        <v>47</v>
      </c>
      <c r="X135" s="7" t="s">
        <v>48</v>
      </c>
      <c r="Y135" s="7" t="s">
        <v>49</v>
      </c>
      <c r="Z135" s="7" t="s">
        <v>95</v>
      </c>
      <c r="AA135" s="7" t="s">
        <v>467</v>
      </c>
      <c r="AB135" s="7" t="s">
        <v>79</v>
      </c>
      <c r="AC135" s="6"/>
    </row>
    <row r="136">
      <c r="A136" s="4" t="str">
        <f t="shared" si="1"/>
        <v>135</v>
      </c>
      <c r="B136" s="7" t="s">
        <v>493</v>
      </c>
      <c r="C136" s="7" t="s">
        <v>494</v>
      </c>
      <c r="D136" s="7" t="s">
        <v>495</v>
      </c>
      <c r="E136" s="7" t="s">
        <v>496</v>
      </c>
      <c r="F136" s="7" t="s">
        <v>294</v>
      </c>
      <c r="G136" s="7" t="s">
        <v>82</v>
      </c>
      <c r="H136" s="7" t="s">
        <v>34</v>
      </c>
      <c r="I136" s="7" t="s">
        <v>75</v>
      </c>
      <c r="J136" s="7" t="s">
        <v>67</v>
      </c>
      <c r="K136" s="7" t="s">
        <v>91</v>
      </c>
      <c r="L136" s="7" t="s">
        <v>348</v>
      </c>
      <c r="M136" s="7">
        <v>904000.0</v>
      </c>
      <c r="N136" s="7" t="s">
        <v>122</v>
      </c>
      <c r="O136" s="7" t="s">
        <v>105</v>
      </c>
      <c r="P136" s="7" t="s">
        <v>189</v>
      </c>
      <c r="Q136" s="7" t="s">
        <v>42</v>
      </c>
      <c r="R136" s="7" t="s">
        <v>497</v>
      </c>
      <c r="S136" s="7" t="s">
        <v>85</v>
      </c>
      <c r="T136" s="7" t="s">
        <v>45</v>
      </c>
      <c r="U136" s="7" t="s">
        <v>58</v>
      </c>
      <c r="V136" s="7" t="s">
        <v>171</v>
      </c>
      <c r="W136" s="7" t="s">
        <v>47</v>
      </c>
      <c r="X136" s="7" t="s">
        <v>48</v>
      </c>
      <c r="Y136" s="7" t="s">
        <v>86</v>
      </c>
      <c r="Z136" s="7" t="s">
        <v>215</v>
      </c>
      <c r="AA136" s="7" t="s">
        <v>498</v>
      </c>
      <c r="AB136" s="7" t="s">
        <v>144</v>
      </c>
      <c r="AC136" s="6"/>
    </row>
    <row r="137">
      <c r="A137" s="4" t="str">
        <f t="shared" si="1"/>
        <v>136</v>
      </c>
      <c r="B137" s="7" t="s">
        <v>499</v>
      </c>
      <c r="C137" s="7" t="s">
        <v>500</v>
      </c>
      <c r="D137" s="7" t="s">
        <v>495</v>
      </c>
      <c r="E137" s="7" t="s">
        <v>496</v>
      </c>
      <c r="F137" s="7" t="s">
        <v>294</v>
      </c>
      <c r="G137" s="7" t="s">
        <v>33</v>
      </c>
      <c r="H137" s="7" t="s">
        <v>65</v>
      </c>
      <c r="I137" s="7" t="s">
        <v>56</v>
      </c>
      <c r="J137" s="7" t="s">
        <v>67</v>
      </c>
      <c r="K137" s="7" t="s">
        <v>91</v>
      </c>
      <c r="L137" s="7" t="s">
        <v>281</v>
      </c>
      <c r="M137" s="7">
        <v>418000.0</v>
      </c>
      <c r="N137" s="7" t="s">
        <v>122</v>
      </c>
      <c r="O137" s="7" t="s">
        <v>40</v>
      </c>
      <c r="P137" s="7" t="s">
        <v>168</v>
      </c>
      <c r="Q137" s="7" t="s">
        <v>42</v>
      </c>
      <c r="R137" s="7" t="s">
        <v>501</v>
      </c>
      <c r="S137" s="7" t="s">
        <v>44</v>
      </c>
      <c r="T137" s="7" t="s">
        <v>45</v>
      </c>
      <c r="U137" s="7" t="s">
        <v>58</v>
      </c>
      <c r="V137" s="7" t="s">
        <v>171</v>
      </c>
      <c r="W137" s="7" t="s">
        <v>47</v>
      </c>
      <c r="X137" s="7" t="s">
        <v>48</v>
      </c>
      <c r="Y137" s="7" t="s">
        <v>49</v>
      </c>
      <c r="Z137" s="7" t="s">
        <v>95</v>
      </c>
      <c r="AA137" s="7" t="s">
        <v>502</v>
      </c>
      <c r="AB137" s="7" t="s">
        <v>497</v>
      </c>
      <c r="AC137" s="6"/>
    </row>
    <row r="138">
      <c r="A138" s="4" t="str">
        <f t="shared" si="1"/>
        <v>137</v>
      </c>
      <c r="B138" s="7" t="s">
        <v>503</v>
      </c>
      <c r="C138" s="7" t="s">
        <v>504</v>
      </c>
      <c r="D138" s="7" t="s">
        <v>495</v>
      </c>
      <c r="E138" s="7" t="s">
        <v>496</v>
      </c>
      <c r="F138" s="7" t="s">
        <v>294</v>
      </c>
      <c r="G138" s="7" t="s">
        <v>33</v>
      </c>
      <c r="H138" s="7" t="s">
        <v>65</v>
      </c>
      <c r="I138" s="7" t="s">
        <v>66</v>
      </c>
      <c r="J138" s="7" t="s">
        <v>36</v>
      </c>
      <c r="K138" s="7" t="s">
        <v>91</v>
      </c>
      <c r="L138" s="7" t="s">
        <v>348</v>
      </c>
      <c r="M138" s="7">
        <v>246000.0</v>
      </c>
      <c r="N138" s="7" t="s">
        <v>122</v>
      </c>
      <c r="O138" s="7" t="s">
        <v>58</v>
      </c>
      <c r="P138" s="7" t="s">
        <v>168</v>
      </c>
      <c r="Q138" s="7" t="s">
        <v>42</v>
      </c>
      <c r="R138" s="7" t="s">
        <v>501</v>
      </c>
      <c r="S138" s="7" t="s">
        <v>57</v>
      </c>
      <c r="T138" s="7" t="s">
        <v>78</v>
      </c>
      <c r="U138" s="7" t="s">
        <v>58</v>
      </c>
      <c r="V138" s="7" t="s">
        <v>171</v>
      </c>
      <c r="W138" s="7" t="s">
        <v>47</v>
      </c>
      <c r="X138" s="7" t="s">
        <v>48</v>
      </c>
      <c r="Y138" s="7" t="s">
        <v>59</v>
      </c>
      <c r="Z138" s="7" t="s">
        <v>95</v>
      </c>
      <c r="AA138" s="7" t="s">
        <v>498</v>
      </c>
      <c r="AB138" s="7" t="s">
        <v>144</v>
      </c>
      <c r="AC138" s="6"/>
    </row>
    <row r="139">
      <c r="A139" s="4" t="str">
        <f t="shared" si="1"/>
        <v>138</v>
      </c>
      <c r="B139" s="7" t="s">
        <v>505</v>
      </c>
      <c r="C139" s="7" t="s">
        <v>506</v>
      </c>
      <c r="D139" s="7" t="s">
        <v>495</v>
      </c>
      <c r="E139" s="7" t="s">
        <v>496</v>
      </c>
      <c r="F139" s="7" t="s">
        <v>32</v>
      </c>
      <c r="G139" s="7" t="s">
        <v>33</v>
      </c>
      <c r="H139" s="7" t="s">
        <v>65</v>
      </c>
      <c r="I139" s="7" t="s">
        <v>104</v>
      </c>
      <c r="J139" s="7" t="s">
        <v>67</v>
      </c>
      <c r="K139" s="7" t="s">
        <v>91</v>
      </c>
      <c r="L139" s="7" t="s">
        <v>318</v>
      </c>
      <c r="M139" s="7">
        <v>234000.0</v>
      </c>
      <c r="N139" s="7" t="s">
        <v>122</v>
      </c>
      <c r="O139" s="7" t="s">
        <v>58</v>
      </c>
      <c r="P139" s="7" t="s">
        <v>168</v>
      </c>
      <c r="Q139" s="7" t="s">
        <v>42</v>
      </c>
      <c r="R139" s="7" t="s">
        <v>501</v>
      </c>
      <c r="S139" s="7" t="s">
        <v>57</v>
      </c>
      <c r="T139" s="7" t="s">
        <v>45</v>
      </c>
      <c r="U139" s="7" t="s">
        <v>58</v>
      </c>
      <c r="V139" s="7" t="s">
        <v>171</v>
      </c>
      <c r="W139" s="7" t="s">
        <v>47</v>
      </c>
      <c r="X139" s="7" t="s">
        <v>48</v>
      </c>
      <c r="Y139" s="7" t="s">
        <v>86</v>
      </c>
      <c r="Z139" s="7" t="s">
        <v>215</v>
      </c>
      <c r="AA139" s="7" t="s">
        <v>498</v>
      </c>
      <c r="AB139" s="7" t="s">
        <v>133</v>
      </c>
      <c r="AC139" s="6"/>
    </row>
    <row r="140">
      <c r="A140" s="4" t="str">
        <f t="shared" si="1"/>
        <v>139</v>
      </c>
      <c r="B140" s="7" t="s">
        <v>507</v>
      </c>
      <c r="C140" s="7" t="s">
        <v>508</v>
      </c>
      <c r="D140" s="7" t="s">
        <v>495</v>
      </c>
      <c r="E140" s="7" t="s">
        <v>496</v>
      </c>
      <c r="F140" s="7" t="s">
        <v>98</v>
      </c>
      <c r="G140" s="7" t="s">
        <v>33</v>
      </c>
      <c r="H140" s="7" t="s">
        <v>34</v>
      </c>
      <c r="I140" s="7" t="s">
        <v>66</v>
      </c>
      <c r="J140" s="7" t="s">
        <v>67</v>
      </c>
      <c r="K140" s="7" t="s">
        <v>91</v>
      </c>
      <c r="L140" s="7" t="s">
        <v>348</v>
      </c>
      <c r="M140" s="7">
        <v>804000.0</v>
      </c>
      <c r="N140" s="7" t="s">
        <v>122</v>
      </c>
      <c r="O140" s="7" t="s">
        <v>58</v>
      </c>
      <c r="P140" s="7" t="s">
        <v>168</v>
      </c>
      <c r="Q140" s="7" t="s">
        <v>42</v>
      </c>
      <c r="R140" s="7" t="s">
        <v>509</v>
      </c>
      <c r="S140" s="7" t="s">
        <v>147</v>
      </c>
      <c r="T140" s="7" t="s">
        <v>45</v>
      </c>
      <c r="U140" s="7" t="s">
        <v>40</v>
      </c>
      <c r="V140" s="7" t="s">
        <v>171</v>
      </c>
      <c r="W140" s="7" t="s">
        <v>47</v>
      </c>
      <c r="X140" s="7" t="s">
        <v>48</v>
      </c>
      <c r="Y140" s="7" t="s">
        <v>59</v>
      </c>
      <c r="Z140" s="7" t="s">
        <v>220</v>
      </c>
      <c r="AA140" s="7" t="s">
        <v>498</v>
      </c>
      <c r="AB140" s="7" t="s">
        <v>497</v>
      </c>
      <c r="AC140" s="6"/>
    </row>
    <row r="141">
      <c r="A141" s="4" t="str">
        <f t="shared" si="1"/>
        <v>140</v>
      </c>
      <c r="B141" s="7" t="s">
        <v>510</v>
      </c>
      <c r="C141" s="7" t="s">
        <v>511</v>
      </c>
      <c r="D141" s="7" t="s">
        <v>495</v>
      </c>
      <c r="E141" s="7" t="s">
        <v>496</v>
      </c>
      <c r="F141" s="7" t="s">
        <v>98</v>
      </c>
      <c r="G141" s="7" t="s">
        <v>74</v>
      </c>
      <c r="H141" s="7" t="s">
        <v>65</v>
      </c>
      <c r="I141" s="7" t="s">
        <v>35</v>
      </c>
      <c r="J141" s="7" t="s">
        <v>67</v>
      </c>
      <c r="K141" s="7" t="s">
        <v>91</v>
      </c>
      <c r="L141" s="7" t="s">
        <v>281</v>
      </c>
      <c r="M141" s="7">
        <v>779000.0</v>
      </c>
      <c r="N141" s="7" t="s">
        <v>122</v>
      </c>
      <c r="O141" s="7" t="s">
        <v>58</v>
      </c>
      <c r="P141" s="7" t="s">
        <v>69</v>
      </c>
      <c r="Q141" s="7" t="s">
        <v>42</v>
      </c>
      <c r="R141" s="7" t="s">
        <v>497</v>
      </c>
      <c r="S141" s="7" t="s">
        <v>57</v>
      </c>
      <c r="T141" s="7" t="s">
        <v>78</v>
      </c>
      <c r="U141" s="7" t="s">
        <v>58</v>
      </c>
      <c r="V141" s="7" t="s">
        <v>171</v>
      </c>
      <c r="W141" s="7" t="s">
        <v>47</v>
      </c>
      <c r="X141" s="7" t="s">
        <v>48</v>
      </c>
      <c r="Y141" s="7" t="s">
        <v>86</v>
      </c>
      <c r="Z141" s="7" t="s">
        <v>220</v>
      </c>
      <c r="AA141" s="7" t="s">
        <v>498</v>
      </c>
      <c r="AB141" s="7" t="s">
        <v>133</v>
      </c>
      <c r="AC141" s="6"/>
    </row>
    <row r="142">
      <c r="A142" s="4" t="str">
        <f t="shared" si="1"/>
        <v>141</v>
      </c>
      <c r="B142" s="7" t="s">
        <v>512</v>
      </c>
      <c r="C142" s="7" t="s">
        <v>513</v>
      </c>
      <c r="D142" s="7" t="s">
        <v>495</v>
      </c>
      <c r="E142" s="7" t="s">
        <v>496</v>
      </c>
      <c r="F142" s="7" t="s">
        <v>294</v>
      </c>
      <c r="G142" s="7" t="s">
        <v>33</v>
      </c>
      <c r="H142" s="7" t="s">
        <v>65</v>
      </c>
      <c r="I142" s="7" t="s">
        <v>83</v>
      </c>
      <c r="J142" s="7" t="s">
        <v>67</v>
      </c>
      <c r="K142" s="7" t="s">
        <v>91</v>
      </c>
      <c r="L142" s="7" t="s">
        <v>348</v>
      </c>
      <c r="M142" s="7">
        <v>450000.0</v>
      </c>
      <c r="N142" s="7" t="s">
        <v>122</v>
      </c>
      <c r="O142" s="7" t="s">
        <v>58</v>
      </c>
      <c r="P142" s="7" t="s">
        <v>168</v>
      </c>
      <c r="Q142" s="7" t="s">
        <v>42</v>
      </c>
      <c r="R142" s="7" t="s">
        <v>509</v>
      </c>
      <c r="S142" s="7" t="s">
        <v>44</v>
      </c>
      <c r="T142" s="7" t="s">
        <v>45</v>
      </c>
      <c r="U142" s="7" t="s">
        <v>58</v>
      </c>
      <c r="V142" s="7" t="s">
        <v>171</v>
      </c>
      <c r="W142" s="7" t="s">
        <v>47</v>
      </c>
      <c r="X142" s="7" t="s">
        <v>48</v>
      </c>
      <c r="Y142" s="7" t="s">
        <v>86</v>
      </c>
      <c r="Z142" s="7" t="s">
        <v>220</v>
      </c>
      <c r="AA142" s="7" t="s">
        <v>498</v>
      </c>
      <c r="AB142" s="7" t="s">
        <v>133</v>
      </c>
      <c r="AC142" s="6"/>
    </row>
    <row r="143">
      <c r="A143" s="4" t="str">
        <f t="shared" si="1"/>
        <v>142</v>
      </c>
      <c r="B143" s="7" t="s">
        <v>514</v>
      </c>
      <c r="C143" s="7" t="s">
        <v>515</v>
      </c>
      <c r="D143" s="7" t="s">
        <v>495</v>
      </c>
      <c r="E143" s="7" t="s">
        <v>496</v>
      </c>
      <c r="F143" s="7" t="s">
        <v>98</v>
      </c>
      <c r="G143" s="7" t="s">
        <v>82</v>
      </c>
      <c r="H143" s="7" t="s">
        <v>65</v>
      </c>
      <c r="I143" s="7" t="s">
        <v>104</v>
      </c>
      <c r="J143" s="7" t="s">
        <v>36</v>
      </c>
      <c r="K143" s="7" t="s">
        <v>91</v>
      </c>
      <c r="L143" s="7" t="s">
        <v>348</v>
      </c>
      <c r="M143" s="7">
        <v>277000.0</v>
      </c>
      <c r="N143" s="7" t="s">
        <v>122</v>
      </c>
      <c r="O143" s="7" t="s">
        <v>58</v>
      </c>
      <c r="P143" s="7" t="s">
        <v>84</v>
      </c>
      <c r="Q143" s="7" t="s">
        <v>42</v>
      </c>
      <c r="R143" s="7" t="s">
        <v>501</v>
      </c>
      <c r="S143" s="7" t="s">
        <v>85</v>
      </c>
      <c r="T143" s="7" t="s">
        <v>124</v>
      </c>
      <c r="U143" s="7" t="s">
        <v>58</v>
      </c>
      <c r="V143" s="7" t="s">
        <v>171</v>
      </c>
      <c r="W143" s="7" t="s">
        <v>47</v>
      </c>
      <c r="X143" s="7" t="s">
        <v>48</v>
      </c>
      <c r="Y143" s="7" t="s">
        <v>49</v>
      </c>
      <c r="Z143" s="7" t="s">
        <v>215</v>
      </c>
      <c r="AA143" s="7" t="s">
        <v>498</v>
      </c>
      <c r="AB143" s="7" t="s">
        <v>144</v>
      </c>
      <c r="AC143" s="6"/>
    </row>
    <row r="144">
      <c r="A144" s="4" t="str">
        <f t="shared" si="1"/>
        <v>143</v>
      </c>
      <c r="B144" s="7" t="s">
        <v>516</v>
      </c>
      <c r="C144" s="7" t="s">
        <v>517</v>
      </c>
      <c r="D144" s="7" t="s">
        <v>495</v>
      </c>
      <c r="E144" s="7" t="s">
        <v>496</v>
      </c>
      <c r="F144" s="7" t="s">
        <v>98</v>
      </c>
      <c r="G144" s="7" t="s">
        <v>33</v>
      </c>
      <c r="H144" s="7" t="s">
        <v>115</v>
      </c>
      <c r="I144" s="7" t="s">
        <v>66</v>
      </c>
      <c r="J144" s="7" t="s">
        <v>67</v>
      </c>
      <c r="K144" s="7" t="s">
        <v>91</v>
      </c>
      <c r="L144" s="7" t="s">
        <v>281</v>
      </c>
      <c r="M144" s="7">
        <v>358000.0</v>
      </c>
      <c r="N144" s="7" t="s">
        <v>122</v>
      </c>
      <c r="O144" s="7" t="s">
        <v>58</v>
      </c>
      <c r="P144" s="7" t="s">
        <v>84</v>
      </c>
      <c r="Q144" s="7" t="s">
        <v>42</v>
      </c>
      <c r="R144" s="7" t="s">
        <v>501</v>
      </c>
      <c r="S144" s="7" t="s">
        <v>57</v>
      </c>
      <c r="T144" s="7" t="s">
        <v>124</v>
      </c>
      <c r="U144" s="7" t="s">
        <v>58</v>
      </c>
      <c r="V144" s="7" t="s">
        <v>171</v>
      </c>
      <c r="W144" s="7" t="s">
        <v>47</v>
      </c>
      <c r="X144" s="7" t="s">
        <v>48</v>
      </c>
      <c r="Y144" s="7" t="s">
        <v>86</v>
      </c>
      <c r="Z144" s="7" t="s">
        <v>95</v>
      </c>
      <c r="AA144" s="7" t="s">
        <v>498</v>
      </c>
      <c r="AB144" s="7" t="s">
        <v>144</v>
      </c>
      <c r="AC144" s="6"/>
    </row>
    <row r="145">
      <c r="A145" s="4" t="str">
        <f t="shared" si="1"/>
        <v>144</v>
      </c>
      <c r="B145" s="7" t="s">
        <v>518</v>
      </c>
      <c r="C145" s="7" t="s">
        <v>519</v>
      </c>
      <c r="D145" s="7" t="s">
        <v>495</v>
      </c>
      <c r="E145" s="7" t="s">
        <v>496</v>
      </c>
      <c r="F145" s="7" t="s">
        <v>98</v>
      </c>
      <c r="G145" s="7" t="s">
        <v>82</v>
      </c>
      <c r="H145" s="7" t="s">
        <v>34</v>
      </c>
      <c r="I145" s="7" t="s">
        <v>83</v>
      </c>
      <c r="J145" s="7" t="s">
        <v>36</v>
      </c>
      <c r="K145" s="7" t="s">
        <v>91</v>
      </c>
      <c r="L145" s="7" t="s">
        <v>348</v>
      </c>
      <c r="M145" s="7">
        <v>433000.0</v>
      </c>
      <c r="N145" s="7" t="s">
        <v>122</v>
      </c>
      <c r="O145" s="7" t="s">
        <v>40</v>
      </c>
      <c r="P145" s="7" t="s">
        <v>69</v>
      </c>
      <c r="Q145" s="7" t="s">
        <v>42</v>
      </c>
      <c r="R145" s="7" t="s">
        <v>497</v>
      </c>
      <c r="S145" s="7" t="s">
        <v>116</v>
      </c>
      <c r="T145" s="7" t="s">
        <v>78</v>
      </c>
      <c r="U145" s="7" t="s">
        <v>40</v>
      </c>
      <c r="V145" s="7" t="s">
        <v>171</v>
      </c>
      <c r="W145" s="7" t="s">
        <v>47</v>
      </c>
      <c r="X145" s="7" t="s">
        <v>48</v>
      </c>
      <c r="Y145" s="7" t="s">
        <v>49</v>
      </c>
      <c r="Z145" s="7" t="s">
        <v>220</v>
      </c>
      <c r="AA145" s="7" t="s">
        <v>498</v>
      </c>
      <c r="AB145" s="7" t="s">
        <v>144</v>
      </c>
      <c r="AC145" s="6"/>
    </row>
    <row r="146">
      <c r="A146" s="4" t="str">
        <f t="shared" si="1"/>
        <v>145</v>
      </c>
      <c r="B146" s="7" t="s">
        <v>520</v>
      </c>
      <c r="C146" s="7" t="s">
        <v>521</v>
      </c>
      <c r="D146" s="7" t="s">
        <v>522</v>
      </c>
      <c r="E146" s="7" t="s">
        <v>523</v>
      </c>
      <c r="F146" s="7" t="s">
        <v>55</v>
      </c>
      <c r="G146" s="7" t="s">
        <v>33</v>
      </c>
      <c r="H146" s="7" t="s">
        <v>409</v>
      </c>
      <c r="I146" s="7" t="s">
        <v>104</v>
      </c>
      <c r="J146" s="7" t="s">
        <v>209</v>
      </c>
      <c r="K146" s="7" t="s">
        <v>91</v>
      </c>
      <c r="L146" s="7" t="s">
        <v>348</v>
      </c>
      <c r="M146" s="7">
        <v>328000.0</v>
      </c>
      <c r="N146" s="7" t="s">
        <v>122</v>
      </c>
      <c r="O146" s="7" t="s">
        <v>58</v>
      </c>
      <c r="P146" s="7" t="s">
        <v>41</v>
      </c>
      <c r="Q146" s="7" t="s">
        <v>42</v>
      </c>
      <c r="R146" s="7" t="s">
        <v>524</v>
      </c>
      <c r="S146" s="7" t="s">
        <v>108</v>
      </c>
      <c r="T146" s="7" t="s">
        <v>45</v>
      </c>
      <c r="U146" s="7" t="s">
        <v>58</v>
      </c>
      <c r="V146" s="7" t="s">
        <v>171</v>
      </c>
      <c r="W146" s="7" t="s">
        <v>47</v>
      </c>
      <c r="X146" s="7" t="s">
        <v>48</v>
      </c>
      <c r="Y146" s="7" t="s">
        <v>49</v>
      </c>
      <c r="Z146" s="7" t="s">
        <v>215</v>
      </c>
      <c r="AA146" s="7" t="s">
        <v>525</v>
      </c>
      <c r="AB146" s="7" t="s">
        <v>526</v>
      </c>
      <c r="AC146" s="6"/>
    </row>
    <row r="147">
      <c r="A147" s="4" t="str">
        <f t="shared" si="1"/>
        <v>146</v>
      </c>
      <c r="B147" s="7" t="s">
        <v>527</v>
      </c>
      <c r="C147" s="7" t="s">
        <v>528</v>
      </c>
      <c r="D147" s="7" t="s">
        <v>522</v>
      </c>
      <c r="E147" s="7" t="s">
        <v>523</v>
      </c>
      <c r="F147" s="7" t="s">
        <v>55</v>
      </c>
      <c r="G147" s="7" t="s">
        <v>82</v>
      </c>
      <c r="H147" s="7" t="s">
        <v>115</v>
      </c>
      <c r="I147" s="7" t="s">
        <v>104</v>
      </c>
      <c r="J147" s="7" t="s">
        <v>36</v>
      </c>
      <c r="K147" s="7" t="s">
        <v>91</v>
      </c>
      <c r="L147" s="7" t="s">
        <v>227</v>
      </c>
      <c r="M147" s="7">
        <v>448000.0</v>
      </c>
      <c r="N147" s="7" t="s">
        <v>122</v>
      </c>
      <c r="O147" s="7" t="s">
        <v>58</v>
      </c>
      <c r="P147" s="7" t="s">
        <v>69</v>
      </c>
      <c r="Q147" s="7" t="s">
        <v>42</v>
      </c>
      <c r="R147" s="7" t="s">
        <v>529</v>
      </c>
      <c r="S147" s="7" t="s">
        <v>85</v>
      </c>
      <c r="T147" s="7" t="s">
        <v>45</v>
      </c>
      <c r="U147" s="7" t="s">
        <v>40</v>
      </c>
      <c r="V147" s="7" t="s">
        <v>171</v>
      </c>
      <c r="W147" s="7" t="s">
        <v>47</v>
      </c>
      <c r="X147" s="7" t="s">
        <v>48</v>
      </c>
      <c r="Y147" s="7" t="s">
        <v>291</v>
      </c>
      <c r="Z147" s="7" t="s">
        <v>95</v>
      </c>
      <c r="AA147" s="7" t="s">
        <v>525</v>
      </c>
      <c r="AB147" s="7" t="s">
        <v>144</v>
      </c>
      <c r="AC147" s="6"/>
    </row>
    <row r="148">
      <c r="A148" s="4" t="str">
        <f t="shared" si="1"/>
        <v>147</v>
      </c>
      <c r="B148" s="7" t="s">
        <v>530</v>
      </c>
      <c r="C148" s="7" t="s">
        <v>531</v>
      </c>
      <c r="D148" s="7" t="s">
        <v>522</v>
      </c>
      <c r="E148" s="7" t="s">
        <v>523</v>
      </c>
      <c r="F148" s="7" t="s">
        <v>98</v>
      </c>
      <c r="G148" s="7" t="s">
        <v>74</v>
      </c>
      <c r="H148" s="7" t="s">
        <v>115</v>
      </c>
      <c r="I148" s="7" t="s">
        <v>75</v>
      </c>
      <c r="J148" s="7" t="s">
        <v>167</v>
      </c>
      <c r="K148" s="7" t="s">
        <v>91</v>
      </c>
      <c r="L148" s="7" t="s">
        <v>142</v>
      </c>
      <c r="M148" s="7">
        <v>852000.0</v>
      </c>
      <c r="N148" s="7" t="s">
        <v>122</v>
      </c>
      <c r="O148" s="7" t="s">
        <v>40</v>
      </c>
      <c r="P148" s="7" t="s">
        <v>41</v>
      </c>
      <c r="Q148" s="7" t="s">
        <v>42</v>
      </c>
      <c r="R148" s="7" t="s">
        <v>532</v>
      </c>
      <c r="S148" s="7" t="s">
        <v>71</v>
      </c>
      <c r="T148" s="7" t="s">
        <v>45</v>
      </c>
      <c r="U148" s="7" t="s">
        <v>58</v>
      </c>
      <c r="V148" s="7" t="s">
        <v>171</v>
      </c>
      <c r="W148" s="7" t="s">
        <v>47</v>
      </c>
      <c r="X148" s="7" t="s">
        <v>48</v>
      </c>
      <c r="Y148" s="7" t="s">
        <v>86</v>
      </c>
      <c r="Z148" s="7" t="s">
        <v>220</v>
      </c>
      <c r="AA148" s="7" t="s">
        <v>525</v>
      </c>
      <c r="AB148" s="7" t="s">
        <v>526</v>
      </c>
      <c r="AC148" s="6"/>
    </row>
    <row r="149">
      <c r="A149" s="4" t="str">
        <f t="shared" si="1"/>
        <v>148</v>
      </c>
      <c r="B149" s="7" t="s">
        <v>533</v>
      </c>
      <c r="C149" s="7" t="s">
        <v>534</v>
      </c>
      <c r="D149" s="7" t="s">
        <v>522</v>
      </c>
      <c r="E149" s="7" t="s">
        <v>523</v>
      </c>
      <c r="F149" s="7" t="s">
        <v>32</v>
      </c>
      <c r="G149" s="7" t="s">
        <v>316</v>
      </c>
      <c r="H149" s="8">
        <v>46227.0</v>
      </c>
      <c r="I149" s="7" t="s">
        <v>35</v>
      </c>
      <c r="J149" s="7" t="s">
        <v>36</v>
      </c>
      <c r="K149" s="7" t="s">
        <v>91</v>
      </c>
      <c r="L149" s="7" t="s">
        <v>142</v>
      </c>
      <c r="M149" s="7">
        <v>593000.0</v>
      </c>
      <c r="N149" s="7" t="s">
        <v>122</v>
      </c>
      <c r="O149" s="7" t="s">
        <v>58</v>
      </c>
      <c r="P149" s="7" t="s">
        <v>168</v>
      </c>
      <c r="Q149" s="7" t="s">
        <v>42</v>
      </c>
      <c r="R149" s="7" t="s">
        <v>532</v>
      </c>
      <c r="S149" s="7" t="s">
        <v>71</v>
      </c>
      <c r="T149" s="7" t="s">
        <v>45</v>
      </c>
      <c r="U149" s="7" t="s">
        <v>58</v>
      </c>
      <c r="V149" s="7" t="s">
        <v>171</v>
      </c>
      <c r="W149" s="7" t="s">
        <v>47</v>
      </c>
      <c r="X149" s="7" t="s">
        <v>48</v>
      </c>
      <c r="Y149" s="7" t="s">
        <v>86</v>
      </c>
      <c r="Z149" s="7" t="s">
        <v>220</v>
      </c>
      <c r="AA149" s="7" t="s">
        <v>525</v>
      </c>
      <c r="AB149" s="7" t="s">
        <v>526</v>
      </c>
      <c r="AC149" s="6"/>
    </row>
    <row r="150">
      <c r="A150" s="4" t="str">
        <f t="shared" si="1"/>
        <v>149</v>
      </c>
      <c r="B150" s="7" t="s">
        <v>535</v>
      </c>
      <c r="C150" s="7" t="s">
        <v>536</v>
      </c>
      <c r="D150" s="7" t="s">
        <v>522</v>
      </c>
      <c r="E150" s="7" t="s">
        <v>523</v>
      </c>
      <c r="F150" s="7" t="s">
        <v>98</v>
      </c>
      <c r="G150" s="7" t="s">
        <v>74</v>
      </c>
      <c r="H150" s="7" t="s">
        <v>34</v>
      </c>
      <c r="I150" s="7" t="s">
        <v>83</v>
      </c>
      <c r="J150" s="7" t="s">
        <v>36</v>
      </c>
      <c r="K150" s="7" t="s">
        <v>91</v>
      </c>
      <c r="L150" s="7" t="s">
        <v>348</v>
      </c>
      <c r="M150" s="7">
        <v>351000.0</v>
      </c>
      <c r="N150" s="7" t="s">
        <v>122</v>
      </c>
      <c r="O150" s="7" t="s">
        <v>58</v>
      </c>
      <c r="P150" s="7" t="s">
        <v>41</v>
      </c>
      <c r="Q150" s="7" t="s">
        <v>42</v>
      </c>
      <c r="R150" s="7" t="s">
        <v>532</v>
      </c>
      <c r="S150" s="7" t="s">
        <v>77</v>
      </c>
      <c r="T150" s="7" t="s">
        <v>45</v>
      </c>
      <c r="U150" s="7" t="s">
        <v>58</v>
      </c>
      <c r="V150" s="7" t="s">
        <v>171</v>
      </c>
      <c r="W150" s="7" t="s">
        <v>47</v>
      </c>
      <c r="X150" s="7" t="s">
        <v>48</v>
      </c>
      <c r="Y150" s="7" t="s">
        <v>49</v>
      </c>
      <c r="Z150" s="7" t="s">
        <v>95</v>
      </c>
      <c r="AA150" s="7" t="s">
        <v>525</v>
      </c>
      <c r="AB150" s="7" t="s">
        <v>526</v>
      </c>
      <c r="AC150" s="6"/>
    </row>
    <row r="151">
      <c r="A151" s="4" t="str">
        <f t="shared" si="1"/>
        <v>150</v>
      </c>
      <c r="B151" s="7" t="s">
        <v>537</v>
      </c>
      <c r="C151" s="7" t="s">
        <v>538</v>
      </c>
      <c r="D151" s="7" t="s">
        <v>522</v>
      </c>
      <c r="E151" s="7" t="s">
        <v>523</v>
      </c>
      <c r="F151" s="7" t="s">
        <v>32</v>
      </c>
      <c r="G151" s="7" t="s">
        <v>33</v>
      </c>
      <c r="H151" s="7" t="s">
        <v>65</v>
      </c>
      <c r="I151" s="7" t="s">
        <v>35</v>
      </c>
      <c r="J151" s="7" t="s">
        <v>67</v>
      </c>
      <c r="K151" s="7" t="s">
        <v>91</v>
      </c>
      <c r="L151" s="7" t="s">
        <v>68</v>
      </c>
      <c r="M151" s="7">
        <v>666000.0</v>
      </c>
      <c r="N151" s="7" t="s">
        <v>122</v>
      </c>
      <c r="O151" s="7" t="s">
        <v>58</v>
      </c>
      <c r="P151" s="7" t="s">
        <v>41</v>
      </c>
      <c r="Q151" s="7" t="s">
        <v>42</v>
      </c>
      <c r="R151" s="7" t="s">
        <v>524</v>
      </c>
      <c r="S151" s="7" t="s">
        <v>170</v>
      </c>
      <c r="T151" s="7" t="s">
        <v>78</v>
      </c>
      <c r="U151" s="7" t="s">
        <v>58</v>
      </c>
      <c r="V151" s="7" t="s">
        <v>171</v>
      </c>
      <c r="W151" s="7" t="s">
        <v>47</v>
      </c>
      <c r="X151" s="7" t="s">
        <v>48</v>
      </c>
      <c r="Y151" s="7" t="s">
        <v>86</v>
      </c>
      <c r="Z151" s="7" t="s">
        <v>95</v>
      </c>
      <c r="AA151" s="7" t="s">
        <v>525</v>
      </c>
      <c r="AB151" s="7" t="s">
        <v>62</v>
      </c>
      <c r="AC151" s="6"/>
    </row>
    <row r="152">
      <c r="A152" s="4" t="str">
        <f t="shared" si="1"/>
        <v>151</v>
      </c>
      <c r="B152" s="7" t="s">
        <v>539</v>
      </c>
      <c r="C152" s="7" t="s">
        <v>540</v>
      </c>
      <c r="D152" s="7" t="s">
        <v>522</v>
      </c>
      <c r="E152" s="7" t="s">
        <v>523</v>
      </c>
      <c r="F152" s="7" t="s">
        <v>98</v>
      </c>
      <c r="G152" s="7" t="s">
        <v>74</v>
      </c>
      <c r="H152" s="8">
        <v>46227.0</v>
      </c>
      <c r="I152" s="7" t="s">
        <v>56</v>
      </c>
      <c r="J152" s="7" t="s">
        <v>36</v>
      </c>
      <c r="K152" s="7" t="s">
        <v>91</v>
      </c>
      <c r="L152" s="7" t="s">
        <v>281</v>
      </c>
      <c r="M152" s="7">
        <v>561000.0</v>
      </c>
      <c r="N152" s="7" t="s">
        <v>122</v>
      </c>
      <c r="O152" s="7" t="s">
        <v>58</v>
      </c>
      <c r="P152" s="7" t="s">
        <v>168</v>
      </c>
      <c r="Q152" s="7" t="s">
        <v>42</v>
      </c>
      <c r="R152" s="7" t="s">
        <v>529</v>
      </c>
      <c r="S152" s="7" t="s">
        <v>267</v>
      </c>
      <c r="T152" s="7" t="s">
        <v>45</v>
      </c>
      <c r="U152" s="7" t="s">
        <v>125</v>
      </c>
      <c r="V152" s="7" t="s">
        <v>171</v>
      </c>
      <c r="W152" s="7" t="s">
        <v>47</v>
      </c>
      <c r="X152" s="7" t="s">
        <v>48</v>
      </c>
      <c r="Y152" s="7" t="s">
        <v>291</v>
      </c>
      <c r="Z152" s="7" t="s">
        <v>215</v>
      </c>
      <c r="AA152" s="7" t="s">
        <v>525</v>
      </c>
      <c r="AB152" s="7" t="s">
        <v>62</v>
      </c>
      <c r="AC152" s="6"/>
    </row>
    <row r="153">
      <c r="A153" s="4" t="str">
        <f t="shared" si="1"/>
        <v>152</v>
      </c>
      <c r="B153" s="7" t="s">
        <v>541</v>
      </c>
      <c r="C153" s="7" t="s">
        <v>542</v>
      </c>
      <c r="D153" s="7" t="s">
        <v>522</v>
      </c>
      <c r="E153" s="7" t="s">
        <v>523</v>
      </c>
      <c r="F153" s="7" t="s">
        <v>55</v>
      </c>
      <c r="G153" s="7" t="s">
        <v>33</v>
      </c>
      <c r="H153" s="7" t="s">
        <v>35</v>
      </c>
      <c r="I153" s="7" t="s">
        <v>66</v>
      </c>
      <c r="J153" s="7" t="s">
        <v>36</v>
      </c>
      <c r="K153" s="7" t="s">
        <v>91</v>
      </c>
      <c r="L153" s="7" t="s">
        <v>142</v>
      </c>
      <c r="M153" s="7">
        <v>751000.0</v>
      </c>
      <c r="N153" s="7" t="s">
        <v>122</v>
      </c>
      <c r="O153" s="7" t="s">
        <v>58</v>
      </c>
      <c r="P153" s="7" t="s">
        <v>69</v>
      </c>
      <c r="Q153" s="7" t="s">
        <v>42</v>
      </c>
      <c r="R153" s="7" t="s">
        <v>532</v>
      </c>
      <c r="S153" s="7" t="s">
        <v>71</v>
      </c>
      <c r="T153" s="7" t="s">
        <v>124</v>
      </c>
      <c r="U153" s="7" t="s">
        <v>58</v>
      </c>
      <c r="V153" s="7" t="s">
        <v>171</v>
      </c>
      <c r="W153" s="7" t="s">
        <v>47</v>
      </c>
      <c r="X153" s="7" t="s">
        <v>48</v>
      </c>
      <c r="Y153" s="7" t="s">
        <v>291</v>
      </c>
      <c r="Z153" s="7" t="s">
        <v>220</v>
      </c>
      <c r="AA153" s="7" t="s">
        <v>525</v>
      </c>
      <c r="AB153" s="7" t="s">
        <v>526</v>
      </c>
      <c r="AC153" s="6"/>
    </row>
    <row r="154">
      <c r="A154" s="4" t="str">
        <f t="shared" si="1"/>
        <v>153</v>
      </c>
      <c r="B154" s="7" t="s">
        <v>543</v>
      </c>
      <c r="C154" s="7" t="s">
        <v>544</v>
      </c>
      <c r="D154" s="7" t="s">
        <v>522</v>
      </c>
      <c r="E154" s="7" t="s">
        <v>523</v>
      </c>
      <c r="F154" s="7" t="s">
        <v>55</v>
      </c>
      <c r="G154" s="7" t="s">
        <v>166</v>
      </c>
      <c r="H154" s="7" t="s">
        <v>409</v>
      </c>
      <c r="I154" s="7" t="s">
        <v>104</v>
      </c>
      <c r="J154" s="7" t="s">
        <v>167</v>
      </c>
      <c r="K154" s="7" t="s">
        <v>91</v>
      </c>
      <c r="L154" s="7" t="s">
        <v>318</v>
      </c>
      <c r="M154" s="7">
        <v>645000.0</v>
      </c>
      <c r="N154" s="7" t="s">
        <v>122</v>
      </c>
      <c r="O154" s="7" t="s">
        <v>58</v>
      </c>
      <c r="P154" s="7" t="s">
        <v>168</v>
      </c>
      <c r="Q154" s="7" t="s">
        <v>42</v>
      </c>
      <c r="R154" s="7" t="s">
        <v>529</v>
      </c>
      <c r="S154" s="7" t="s">
        <v>44</v>
      </c>
      <c r="T154" s="7" t="s">
        <v>45</v>
      </c>
      <c r="U154" s="7" t="s">
        <v>58</v>
      </c>
      <c r="V154" s="7" t="s">
        <v>171</v>
      </c>
      <c r="W154" s="7" t="s">
        <v>47</v>
      </c>
      <c r="X154" s="7" t="s">
        <v>48</v>
      </c>
      <c r="Y154" s="7" t="s">
        <v>86</v>
      </c>
      <c r="Z154" s="7" t="s">
        <v>215</v>
      </c>
      <c r="AA154" s="7" t="s">
        <v>525</v>
      </c>
      <c r="AB154" s="7" t="s">
        <v>62</v>
      </c>
      <c r="AC154" s="6"/>
    </row>
    <row r="155">
      <c r="A155" s="4" t="str">
        <f t="shared" si="1"/>
        <v>154</v>
      </c>
      <c r="B155" s="7" t="s">
        <v>545</v>
      </c>
      <c r="C155" s="7" t="s">
        <v>546</v>
      </c>
      <c r="D155" s="7" t="s">
        <v>522</v>
      </c>
      <c r="E155" s="7" t="s">
        <v>523</v>
      </c>
      <c r="F155" s="7" t="s">
        <v>55</v>
      </c>
      <c r="G155" s="7" t="s">
        <v>316</v>
      </c>
      <c r="H155" s="7" t="s">
        <v>115</v>
      </c>
      <c r="I155" s="7" t="s">
        <v>104</v>
      </c>
      <c r="J155" s="7" t="s">
        <v>67</v>
      </c>
      <c r="K155" s="7" t="s">
        <v>91</v>
      </c>
      <c r="L155" s="7" t="s">
        <v>142</v>
      </c>
      <c r="M155" s="7">
        <v>823000.0</v>
      </c>
      <c r="N155" s="7" t="s">
        <v>122</v>
      </c>
      <c r="O155" s="7" t="s">
        <v>40</v>
      </c>
      <c r="P155" s="7" t="s">
        <v>189</v>
      </c>
      <c r="Q155" s="7" t="s">
        <v>42</v>
      </c>
      <c r="R155" s="7" t="s">
        <v>529</v>
      </c>
      <c r="S155" s="7" t="s">
        <v>57</v>
      </c>
      <c r="T155" s="7" t="s">
        <v>78</v>
      </c>
      <c r="U155" s="7" t="s">
        <v>58</v>
      </c>
      <c r="V155" s="7" t="s">
        <v>171</v>
      </c>
      <c r="W155" s="7" t="s">
        <v>47</v>
      </c>
      <c r="X155" s="7" t="s">
        <v>48</v>
      </c>
      <c r="Y155" s="7" t="s">
        <v>291</v>
      </c>
      <c r="Z155" s="7" t="s">
        <v>95</v>
      </c>
      <c r="AA155" s="7" t="s">
        <v>525</v>
      </c>
      <c r="AB155" s="7" t="s">
        <v>526</v>
      </c>
      <c r="AC155" s="6"/>
    </row>
    <row r="156">
      <c r="A156" s="4" t="str">
        <f t="shared" si="1"/>
        <v>155</v>
      </c>
      <c r="B156" s="7" t="s">
        <v>547</v>
      </c>
      <c r="C156" s="7" t="s">
        <v>548</v>
      </c>
      <c r="D156" s="7" t="s">
        <v>549</v>
      </c>
      <c r="E156" s="7" t="s">
        <v>550</v>
      </c>
      <c r="F156" s="7" t="s">
        <v>55</v>
      </c>
      <c r="G156" s="7" t="s">
        <v>166</v>
      </c>
      <c r="H156" s="7" t="s">
        <v>34</v>
      </c>
      <c r="I156" s="7" t="s">
        <v>35</v>
      </c>
      <c r="J156" s="7" t="s">
        <v>219</v>
      </c>
      <c r="K156" s="7" t="s">
        <v>551</v>
      </c>
      <c r="L156" s="7" t="s">
        <v>281</v>
      </c>
      <c r="M156" s="7">
        <v>406000.0</v>
      </c>
      <c r="N156" s="7" t="s">
        <v>122</v>
      </c>
      <c r="O156" s="7" t="s">
        <v>58</v>
      </c>
      <c r="P156" s="7" t="s">
        <v>189</v>
      </c>
      <c r="Q156" s="7" t="s">
        <v>42</v>
      </c>
      <c r="R156" s="7" t="s">
        <v>552</v>
      </c>
      <c r="S156" s="7" t="s">
        <v>99</v>
      </c>
      <c r="T156" s="7" t="s">
        <v>78</v>
      </c>
      <c r="U156" s="7" t="s">
        <v>125</v>
      </c>
      <c r="V156" s="7" t="s">
        <v>251</v>
      </c>
      <c r="W156" s="7" t="s">
        <v>214</v>
      </c>
      <c r="X156" s="7" t="s">
        <v>48</v>
      </c>
      <c r="Y156" s="7" t="s">
        <v>291</v>
      </c>
      <c r="Z156" s="7" t="s">
        <v>95</v>
      </c>
      <c r="AA156" s="7" t="s">
        <v>553</v>
      </c>
      <c r="AB156" s="7" t="s">
        <v>287</v>
      </c>
      <c r="AC156" s="6"/>
    </row>
    <row r="157">
      <c r="A157" s="4" t="str">
        <f t="shared" si="1"/>
        <v>156</v>
      </c>
      <c r="B157" s="7" t="s">
        <v>554</v>
      </c>
      <c r="C157" s="7" t="s">
        <v>555</v>
      </c>
      <c r="D157" s="7" t="s">
        <v>549</v>
      </c>
      <c r="E157" s="7" t="s">
        <v>550</v>
      </c>
      <c r="F157" s="7" t="s">
        <v>55</v>
      </c>
      <c r="G157" s="7" t="s">
        <v>166</v>
      </c>
      <c r="H157" s="7" t="s">
        <v>34</v>
      </c>
      <c r="I157" s="7" t="s">
        <v>56</v>
      </c>
      <c r="J157" s="7" t="s">
        <v>219</v>
      </c>
      <c r="K157" s="7" t="s">
        <v>551</v>
      </c>
      <c r="L157" s="7" t="s">
        <v>318</v>
      </c>
      <c r="M157" s="7">
        <v>325000.0</v>
      </c>
      <c r="N157" s="7" t="s">
        <v>122</v>
      </c>
      <c r="O157" s="7" t="s">
        <v>58</v>
      </c>
      <c r="P157" s="7" t="s">
        <v>189</v>
      </c>
      <c r="Q157" s="7" t="s">
        <v>42</v>
      </c>
      <c r="R157" s="7" t="s">
        <v>552</v>
      </c>
      <c r="S157" s="7" t="s">
        <v>57</v>
      </c>
      <c r="T157" s="7" t="s">
        <v>78</v>
      </c>
      <c r="U157" s="7" t="s">
        <v>125</v>
      </c>
      <c r="V157" s="7" t="s">
        <v>251</v>
      </c>
      <c r="W157" s="7" t="s">
        <v>214</v>
      </c>
      <c r="X157" s="7" t="s">
        <v>48</v>
      </c>
      <c r="Y157" s="7" t="s">
        <v>291</v>
      </c>
      <c r="Z157" s="7" t="s">
        <v>95</v>
      </c>
      <c r="AA157" s="7" t="s">
        <v>553</v>
      </c>
      <c r="AB157" s="7" t="s">
        <v>256</v>
      </c>
      <c r="AC157" s="6"/>
    </row>
    <row r="158">
      <c r="A158" s="4" t="str">
        <f t="shared" si="1"/>
        <v>157</v>
      </c>
      <c r="B158" s="7" t="s">
        <v>556</v>
      </c>
      <c r="C158" s="7" t="s">
        <v>557</v>
      </c>
      <c r="D158" s="7" t="s">
        <v>549</v>
      </c>
      <c r="E158" s="7" t="s">
        <v>550</v>
      </c>
      <c r="F158" s="7" t="s">
        <v>98</v>
      </c>
      <c r="G158" s="7" t="s">
        <v>166</v>
      </c>
      <c r="H158" s="7" t="s">
        <v>115</v>
      </c>
      <c r="I158" s="7" t="s">
        <v>83</v>
      </c>
      <c r="J158" s="7" t="s">
        <v>219</v>
      </c>
      <c r="K158" s="7" t="s">
        <v>551</v>
      </c>
      <c r="L158" s="7" t="s">
        <v>281</v>
      </c>
      <c r="M158" s="7">
        <v>307000.0</v>
      </c>
      <c r="N158" s="7" t="s">
        <v>122</v>
      </c>
      <c r="O158" s="7" t="s">
        <v>58</v>
      </c>
      <c r="P158" s="7" t="s">
        <v>69</v>
      </c>
      <c r="Q158" s="7" t="s">
        <v>42</v>
      </c>
      <c r="R158" s="7" t="s">
        <v>558</v>
      </c>
      <c r="S158" s="7" t="s">
        <v>329</v>
      </c>
      <c r="T158" s="7" t="s">
        <v>45</v>
      </c>
      <c r="U158" s="7" t="s">
        <v>125</v>
      </c>
      <c r="V158" s="7" t="s">
        <v>251</v>
      </c>
      <c r="W158" s="7" t="s">
        <v>214</v>
      </c>
      <c r="X158" s="7" t="s">
        <v>48</v>
      </c>
      <c r="Y158" s="7" t="s">
        <v>172</v>
      </c>
      <c r="Z158" s="7" t="s">
        <v>220</v>
      </c>
      <c r="AA158" s="7" t="s">
        <v>553</v>
      </c>
      <c r="AB158" s="7" t="s">
        <v>287</v>
      </c>
      <c r="AC158" s="6"/>
    </row>
    <row r="159">
      <c r="A159" s="4" t="str">
        <f t="shared" si="1"/>
        <v>158</v>
      </c>
      <c r="B159" s="7" t="s">
        <v>559</v>
      </c>
      <c r="C159" s="7" t="s">
        <v>560</v>
      </c>
      <c r="D159" s="7" t="s">
        <v>549</v>
      </c>
      <c r="E159" s="7" t="s">
        <v>550</v>
      </c>
      <c r="F159" s="7" t="s">
        <v>55</v>
      </c>
      <c r="G159" s="7" t="s">
        <v>166</v>
      </c>
      <c r="H159" s="8">
        <v>46227.0</v>
      </c>
      <c r="I159" s="7" t="s">
        <v>35</v>
      </c>
      <c r="J159" s="7" t="s">
        <v>167</v>
      </c>
      <c r="K159" s="7" t="s">
        <v>551</v>
      </c>
      <c r="L159" s="7" t="s">
        <v>211</v>
      </c>
      <c r="M159" s="7">
        <v>440000.0</v>
      </c>
      <c r="N159" s="7" t="s">
        <v>122</v>
      </c>
      <c r="O159" s="7" t="s">
        <v>40</v>
      </c>
      <c r="P159" s="7" t="s">
        <v>189</v>
      </c>
      <c r="Q159" s="7" t="s">
        <v>42</v>
      </c>
      <c r="R159" s="7" t="s">
        <v>212</v>
      </c>
      <c r="S159" s="7" t="s">
        <v>147</v>
      </c>
      <c r="T159" s="7" t="s">
        <v>45</v>
      </c>
      <c r="U159" s="7" t="s">
        <v>125</v>
      </c>
      <c r="V159" s="7" t="s">
        <v>251</v>
      </c>
      <c r="W159" s="7" t="s">
        <v>214</v>
      </c>
      <c r="X159" s="7" t="s">
        <v>48</v>
      </c>
      <c r="Y159" s="7" t="s">
        <v>172</v>
      </c>
      <c r="Z159" s="7" t="s">
        <v>215</v>
      </c>
      <c r="AA159" s="7" t="s">
        <v>553</v>
      </c>
      <c r="AB159" s="7" t="s">
        <v>133</v>
      </c>
      <c r="AC159" s="6"/>
    </row>
    <row r="160">
      <c r="A160" s="4" t="str">
        <f t="shared" si="1"/>
        <v>159</v>
      </c>
      <c r="B160" s="7" t="s">
        <v>561</v>
      </c>
      <c r="C160" s="7" t="s">
        <v>562</v>
      </c>
      <c r="D160" s="7" t="s">
        <v>549</v>
      </c>
      <c r="E160" s="7" t="s">
        <v>550</v>
      </c>
      <c r="F160" s="7" t="s">
        <v>98</v>
      </c>
      <c r="G160" s="7" t="s">
        <v>166</v>
      </c>
      <c r="H160" s="7" t="s">
        <v>35</v>
      </c>
      <c r="I160" s="7" t="s">
        <v>56</v>
      </c>
      <c r="J160" s="7" t="s">
        <v>167</v>
      </c>
      <c r="K160" s="7" t="s">
        <v>551</v>
      </c>
      <c r="L160" s="7" t="s">
        <v>142</v>
      </c>
      <c r="M160" s="7">
        <v>337000.0</v>
      </c>
      <c r="N160" s="7" t="s">
        <v>122</v>
      </c>
      <c r="O160" s="7" t="s">
        <v>40</v>
      </c>
      <c r="P160" s="7" t="s">
        <v>189</v>
      </c>
      <c r="Q160" s="7" t="s">
        <v>42</v>
      </c>
      <c r="R160" s="7" t="s">
        <v>552</v>
      </c>
      <c r="S160" s="7" t="s">
        <v>232</v>
      </c>
      <c r="T160" s="7" t="s">
        <v>124</v>
      </c>
      <c r="U160" s="7" t="s">
        <v>125</v>
      </c>
      <c r="V160" s="7" t="s">
        <v>251</v>
      </c>
      <c r="W160" s="7" t="s">
        <v>214</v>
      </c>
      <c r="X160" s="7" t="s">
        <v>48</v>
      </c>
      <c r="Y160" s="7" t="s">
        <v>172</v>
      </c>
      <c r="Z160" s="7" t="s">
        <v>215</v>
      </c>
      <c r="AA160" s="7" t="s">
        <v>553</v>
      </c>
      <c r="AB160" s="7" t="s">
        <v>256</v>
      </c>
      <c r="AC160" s="6"/>
    </row>
    <row r="161">
      <c r="A161" s="4" t="str">
        <f t="shared" si="1"/>
        <v>160</v>
      </c>
      <c r="B161" s="7" t="s">
        <v>563</v>
      </c>
      <c r="C161" s="7" t="s">
        <v>564</v>
      </c>
      <c r="D161" s="7" t="s">
        <v>549</v>
      </c>
      <c r="E161" s="7" t="s">
        <v>550</v>
      </c>
      <c r="F161" s="7" t="s">
        <v>55</v>
      </c>
      <c r="G161" s="7" t="s">
        <v>166</v>
      </c>
      <c r="H161" s="7" t="s">
        <v>115</v>
      </c>
      <c r="I161" s="7" t="s">
        <v>75</v>
      </c>
      <c r="J161" s="7" t="s">
        <v>219</v>
      </c>
      <c r="K161" s="7" t="s">
        <v>551</v>
      </c>
      <c r="L161" s="7" t="s">
        <v>227</v>
      </c>
      <c r="M161" s="7">
        <v>280000.0</v>
      </c>
      <c r="N161" s="7" t="s">
        <v>122</v>
      </c>
      <c r="O161" s="7" t="s">
        <v>58</v>
      </c>
      <c r="P161" s="7" t="s">
        <v>69</v>
      </c>
      <c r="Q161" s="7" t="s">
        <v>42</v>
      </c>
      <c r="R161" s="7" t="s">
        <v>552</v>
      </c>
      <c r="S161" s="7" t="s">
        <v>143</v>
      </c>
      <c r="T161" s="7" t="s">
        <v>124</v>
      </c>
      <c r="U161" s="7" t="s">
        <v>125</v>
      </c>
      <c r="V161" s="7" t="s">
        <v>251</v>
      </c>
      <c r="W161" s="7" t="s">
        <v>214</v>
      </c>
      <c r="X161" s="7" t="s">
        <v>48</v>
      </c>
      <c r="Y161" s="7" t="s">
        <v>291</v>
      </c>
      <c r="Z161" s="7" t="s">
        <v>215</v>
      </c>
      <c r="AA161" s="7" t="s">
        <v>553</v>
      </c>
      <c r="AB161" s="7" t="s">
        <v>287</v>
      </c>
      <c r="AC161" s="6"/>
    </row>
    <row r="162">
      <c r="A162" s="4" t="str">
        <f t="shared" si="1"/>
        <v>161</v>
      </c>
      <c r="B162" s="7" t="s">
        <v>565</v>
      </c>
      <c r="C162" s="7" t="s">
        <v>566</v>
      </c>
      <c r="D162" s="7" t="s">
        <v>549</v>
      </c>
      <c r="E162" s="7" t="s">
        <v>550</v>
      </c>
      <c r="F162" s="7" t="s">
        <v>32</v>
      </c>
      <c r="G162" s="7" t="s">
        <v>166</v>
      </c>
      <c r="H162" s="8">
        <v>46227.0</v>
      </c>
      <c r="I162" s="7" t="s">
        <v>83</v>
      </c>
      <c r="J162" s="7" t="s">
        <v>219</v>
      </c>
      <c r="K162" s="7" t="s">
        <v>551</v>
      </c>
      <c r="L162" s="7" t="s">
        <v>318</v>
      </c>
      <c r="M162" s="7">
        <v>321000.0</v>
      </c>
      <c r="N162" s="7" t="s">
        <v>122</v>
      </c>
      <c r="O162" s="7" t="s">
        <v>40</v>
      </c>
      <c r="P162" s="7" t="s">
        <v>69</v>
      </c>
      <c r="Q162" s="7" t="s">
        <v>42</v>
      </c>
      <c r="R162" s="7" t="s">
        <v>552</v>
      </c>
      <c r="S162" s="7" t="s">
        <v>147</v>
      </c>
      <c r="T162" s="7" t="s">
        <v>78</v>
      </c>
      <c r="U162" s="7" t="s">
        <v>125</v>
      </c>
      <c r="V162" s="7" t="s">
        <v>251</v>
      </c>
      <c r="W162" s="7" t="s">
        <v>214</v>
      </c>
      <c r="X162" s="7" t="s">
        <v>48</v>
      </c>
      <c r="Y162" s="7" t="s">
        <v>172</v>
      </c>
      <c r="Z162" s="7" t="s">
        <v>95</v>
      </c>
      <c r="AA162" s="7" t="s">
        <v>553</v>
      </c>
      <c r="AB162" s="7" t="s">
        <v>256</v>
      </c>
      <c r="AC162" s="6"/>
    </row>
    <row r="163">
      <c r="A163" s="4" t="str">
        <f t="shared" si="1"/>
        <v>162</v>
      </c>
      <c r="B163" s="7" t="s">
        <v>567</v>
      </c>
      <c r="C163" s="7" t="s">
        <v>568</v>
      </c>
      <c r="D163" s="7" t="s">
        <v>549</v>
      </c>
      <c r="E163" s="7" t="s">
        <v>550</v>
      </c>
      <c r="F163" s="7" t="s">
        <v>98</v>
      </c>
      <c r="G163" s="7" t="s">
        <v>166</v>
      </c>
      <c r="H163" s="7" t="s">
        <v>409</v>
      </c>
      <c r="I163" s="7" t="s">
        <v>83</v>
      </c>
      <c r="J163" s="7" t="s">
        <v>167</v>
      </c>
      <c r="K163" s="7" t="s">
        <v>551</v>
      </c>
      <c r="L163" s="7" t="s">
        <v>211</v>
      </c>
      <c r="M163" s="7">
        <v>412000.0</v>
      </c>
      <c r="N163" s="7" t="s">
        <v>122</v>
      </c>
      <c r="O163" s="7" t="s">
        <v>58</v>
      </c>
      <c r="P163" s="7" t="s">
        <v>41</v>
      </c>
      <c r="Q163" s="7" t="s">
        <v>42</v>
      </c>
      <c r="R163" s="7" t="s">
        <v>212</v>
      </c>
      <c r="S163" s="7" t="s">
        <v>44</v>
      </c>
      <c r="T163" s="7" t="s">
        <v>45</v>
      </c>
      <c r="U163" s="7" t="s">
        <v>125</v>
      </c>
      <c r="V163" s="7" t="s">
        <v>251</v>
      </c>
      <c r="W163" s="7" t="s">
        <v>214</v>
      </c>
      <c r="X163" s="7" t="s">
        <v>48</v>
      </c>
      <c r="Y163" s="7" t="s">
        <v>172</v>
      </c>
      <c r="Z163" s="7" t="s">
        <v>95</v>
      </c>
      <c r="AA163" s="7" t="s">
        <v>553</v>
      </c>
      <c r="AB163" s="7" t="s">
        <v>133</v>
      </c>
      <c r="AC163" s="6"/>
    </row>
    <row r="164">
      <c r="A164" s="4" t="str">
        <f t="shared" si="1"/>
        <v>163</v>
      </c>
      <c r="B164" s="7" t="s">
        <v>569</v>
      </c>
      <c r="C164" s="7" t="s">
        <v>570</v>
      </c>
      <c r="D164" s="7" t="s">
        <v>571</v>
      </c>
      <c r="E164" s="7" t="s">
        <v>572</v>
      </c>
      <c r="F164" s="7" t="s">
        <v>573</v>
      </c>
      <c r="G164" s="7" t="s">
        <v>166</v>
      </c>
      <c r="H164" s="7" t="s">
        <v>34</v>
      </c>
      <c r="I164" s="7" t="s">
        <v>104</v>
      </c>
      <c r="J164" s="7" t="s">
        <v>167</v>
      </c>
      <c r="K164" s="7" t="s">
        <v>574</v>
      </c>
      <c r="L164" s="7" t="s">
        <v>281</v>
      </c>
      <c r="M164" s="7">
        <v>257000.0</v>
      </c>
      <c r="N164" s="7" t="s">
        <v>122</v>
      </c>
      <c r="O164" s="7" t="s">
        <v>58</v>
      </c>
      <c r="P164" s="7" t="s">
        <v>69</v>
      </c>
      <c r="Q164" s="7" t="s">
        <v>42</v>
      </c>
      <c r="R164" s="7" t="s">
        <v>575</v>
      </c>
      <c r="S164" s="7" t="s">
        <v>147</v>
      </c>
      <c r="T164" s="7" t="s">
        <v>576</v>
      </c>
      <c r="U164" s="7" t="s">
        <v>125</v>
      </c>
      <c r="V164" s="7" t="s">
        <v>284</v>
      </c>
      <c r="W164" s="7" t="s">
        <v>285</v>
      </c>
      <c r="X164" s="7" t="s">
        <v>48</v>
      </c>
      <c r="Y164" s="7" t="s">
        <v>291</v>
      </c>
      <c r="Z164" s="7" t="s">
        <v>220</v>
      </c>
      <c r="AA164" s="7" t="s">
        <v>577</v>
      </c>
      <c r="AB164" s="7" t="s">
        <v>578</v>
      </c>
      <c r="AC164" s="6"/>
    </row>
    <row r="165">
      <c r="A165" s="4" t="str">
        <f t="shared" si="1"/>
        <v>164</v>
      </c>
      <c r="B165" s="7" t="s">
        <v>579</v>
      </c>
      <c r="C165" s="7" t="s">
        <v>580</v>
      </c>
      <c r="D165" s="7" t="s">
        <v>571</v>
      </c>
      <c r="E165" s="7" t="s">
        <v>572</v>
      </c>
      <c r="F165" s="7" t="s">
        <v>573</v>
      </c>
      <c r="G165" s="7" t="s">
        <v>166</v>
      </c>
      <c r="H165" s="7" t="s">
        <v>34</v>
      </c>
      <c r="I165" s="7" t="s">
        <v>104</v>
      </c>
      <c r="J165" s="7" t="s">
        <v>167</v>
      </c>
      <c r="K165" s="7" t="s">
        <v>574</v>
      </c>
      <c r="L165" s="7" t="s">
        <v>227</v>
      </c>
      <c r="M165" s="7">
        <v>239000.0</v>
      </c>
      <c r="N165" s="7" t="s">
        <v>122</v>
      </c>
      <c r="O165" s="7" t="s">
        <v>282</v>
      </c>
      <c r="P165" s="7" t="s">
        <v>189</v>
      </c>
      <c r="Q165" s="7" t="s">
        <v>42</v>
      </c>
      <c r="R165" s="7" t="s">
        <v>575</v>
      </c>
      <c r="S165" s="7" t="s">
        <v>147</v>
      </c>
      <c r="T165" s="7" t="s">
        <v>576</v>
      </c>
      <c r="U165" s="7" t="s">
        <v>125</v>
      </c>
      <c r="V165" s="7" t="s">
        <v>284</v>
      </c>
      <c r="W165" s="7" t="s">
        <v>285</v>
      </c>
      <c r="X165" s="7" t="s">
        <v>48</v>
      </c>
      <c r="Y165" s="7" t="s">
        <v>172</v>
      </c>
      <c r="Z165" s="7" t="s">
        <v>95</v>
      </c>
      <c r="AA165" s="7" t="s">
        <v>577</v>
      </c>
      <c r="AB165" s="7" t="s">
        <v>578</v>
      </c>
      <c r="AC165" s="6"/>
    </row>
    <row r="166">
      <c r="A166" s="4" t="str">
        <f t="shared" si="1"/>
        <v>165</v>
      </c>
      <c r="B166" s="7" t="s">
        <v>581</v>
      </c>
      <c r="C166" s="7" t="s">
        <v>582</v>
      </c>
      <c r="D166" s="7" t="s">
        <v>571</v>
      </c>
      <c r="E166" s="7" t="s">
        <v>572</v>
      </c>
      <c r="F166" s="7" t="s">
        <v>573</v>
      </c>
      <c r="G166" s="7" t="s">
        <v>166</v>
      </c>
      <c r="H166" s="7" t="s">
        <v>34</v>
      </c>
      <c r="I166" s="7" t="s">
        <v>83</v>
      </c>
      <c r="J166" s="7" t="s">
        <v>219</v>
      </c>
      <c r="K166" s="7" t="s">
        <v>574</v>
      </c>
      <c r="L166" s="7" t="s">
        <v>211</v>
      </c>
      <c r="M166" s="7">
        <v>231000.0</v>
      </c>
      <c r="N166" s="7" t="s">
        <v>122</v>
      </c>
      <c r="O166" s="7" t="s">
        <v>282</v>
      </c>
      <c r="P166" s="7" t="s">
        <v>189</v>
      </c>
      <c r="Q166" s="7" t="s">
        <v>42</v>
      </c>
      <c r="R166" s="7" t="s">
        <v>583</v>
      </c>
      <c r="S166" s="7" t="s">
        <v>44</v>
      </c>
      <c r="T166" s="7" t="s">
        <v>576</v>
      </c>
      <c r="U166" s="7" t="s">
        <v>125</v>
      </c>
      <c r="V166" s="7" t="s">
        <v>284</v>
      </c>
      <c r="W166" s="7" t="s">
        <v>285</v>
      </c>
      <c r="X166" s="7" t="s">
        <v>48</v>
      </c>
      <c r="Y166" s="7" t="s">
        <v>172</v>
      </c>
      <c r="Z166" s="7" t="s">
        <v>95</v>
      </c>
      <c r="AA166" s="7" t="s">
        <v>577</v>
      </c>
      <c r="AB166" s="7" t="s">
        <v>584</v>
      </c>
      <c r="AC166" s="6"/>
    </row>
    <row r="167">
      <c r="A167" s="4" t="str">
        <f t="shared" si="1"/>
        <v>166</v>
      </c>
      <c r="B167" s="7" t="s">
        <v>585</v>
      </c>
      <c r="C167" s="7" t="s">
        <v>586</v>
      </c>
      <c r="D167" s="7" t="s">
        <v>571</v>
      </c>
      <c r="E167" s="7" t="s">
        <v>572</v>
      </c>
      <c r="F167" s="7" t="s">
        <v>32</v>
      </c>
      <c r="G167" s="7" t="s">
        <v>166</v>
      </c>
      <c r="H167" s="7" t="s">
        <v>34</v>
      </c>
      <c r="I167" s="7" t="s">
        <v>35</v>
      </c>
      <c r="J167" s="7" t="s">
        <v>36</v>
      </c>
      <c r="K167" s="7" t="s">
        <v>574</v>
      </c>
      <c r="L167" s="7" t="s">
        <v>227</v>
      </c>
      <c r="M167" s="7">
        <v>311000.0</v>
      </c>
      <c r="N167" s="7" t="s">
        <v>122</v>
      </c>
      <c r="O167" s="7" t="s">
        <v>282</v>
      </c>
      <c r="P167" s="7" t="s">
        <v>189</v>
      </c>
      <c r="Q167" s="7" t="s">
        <v>42</v>
      </c>
      <c r="R167" s="7" t="s">
        <v>583</v>
      </c>
      <c r="S167" s="7" t="s">
        <v>44</v>
      </c>
      <c r="T167" s="7" t="s">
        <v>576</v>
      </c>
      <c r="U167" s="7" t="s">
        <v>125</v>
      </c>
      <c r="V167" s="7" t="s">
        <v>284</v>
      </c>
      <c r="W167" s="7" t="s">
        <v>285</v>
      </c>
      <c r="X167" s="7" t="s">
        <v>48</v>
      </c>
      <c r="Y167" s="7" t="s">
        <v>291</v>
      </c>
      <c r="Z167" s="7" t="s">
        <v>215</v>
      </c>
      <c r="AA167" s="7" t="s">
        <v>577</v>
      </c>
      <c r="AB167" s="7" t="s">
        <v>584</v>
      </c>
      <c r="AC167" s="6"/>
    </row>
    <row r="168">
      <c r="A168" s="4" t="str">
        <f t="shared" si="1"/>
        <v>167</v>
      </c>
      <c r="B168" s="7" t="s">
        <v>587</v>
      </c>
      <c r="C168" s="7" t="s">
        <v>588</v>
      </c>
      <c r="D168" s="7" t="s">
        <v>571</v>
      </c>
      <c r="E168" s="7" t="s">
        <v>572</v>
      </c>
      <c r="F168" s="7" t="s">
        <v>573</v>
      </c>
      <c r="G168" s="7" t="s">
        <v>166</v>
      </c>
      <c r="H168" s="7" t="s">
        <v>34</v>
      </c>
      <c r="I168" s="7" t="s">
        <v>66</v>
      </c>
      <c r="J168" s="7" t="s">
        <v>219</v>
      </c>
      <c r="K168" s="7" t="s">
        <v>574</v>
      </c>
      <c r="L168" s="7" t="s">
        <v>281</v>
      </c>
      <c r="M168" s="7">
        <v>220000.0</v>
      </c>
      <c r="N168" s="7" t="s">
        <v>122</v>
      </c>
      <c r="O168" s="7" t="s">
        <v>282</v>
      </c>
      <c r="P168" s="7" t="s">
        <v>189</v>
      </c>
      <c r="Q168" s="7" t="s">
        <v>42</v>
      </c>
      <c r="R168" s="7" t="s">
        <v>583</v>
      </c>
      <c r="S168" s="7" t="s">
        <v>147</v>
      </c>
      <c r="T168" s="7" t="s">
        <v>576</v>
      </c>
      <c r="U168" s="7" t="s">
        <v>125</v>
      </c>
      <c r="V168" s="7" t="s">
        <v>284</v>
      </c>
      <c r="W168" s="7" t="s">
        <v>285</v>
      </c>
      <c r="X168" s="7" t="s">
        <v>48</v>
      </c>
      <c r="Y168" s="7" t="s">
        <v>291</v>
      </c>
      <c r="Z168" s="7" t="s">
        <v>220</v>
      </c>
      <c r="AA168" s="7" t="s">
        <v>577</v>
      </c>
      <c r="AB168" s="7" t="s">
        <v>133</v>
      </c>
      <c r="AC168" s="6"/>
    </row>
    <row r="169">
      <c r="A169" s="4" t="str">
        <f t="shared" si="1"/>
        <v>168</v>
      </c>
      <c r="B169" s="7" t="s">
        <v>589</v>
      </c>
      <c r="C169" s="7" t="s">
        <v>590</v>
      </c>
      <c r="D169" s="7" t="s">
        <v>571</v>
      </c>
      <c r="E169" s="7" t="s">
        <v>572</v>
      </c>
      <c r="F169" s="7" t="s">
        <v>573</v>
      </c>
      <c r="G169" s="7" t="s">
        <v>166</v>
      </c>
      <c r="H169" s="7" t="s">
        <v>34</v>
      </c>
      <c r="I169" s="7" t="s">
        <v>66</v>
      </c>
      <c r="J169" s="7" t="s">
        <v>219</v>
      </c>
      <c r="K169" s="7" t="s">
        <v>574</v>
      </c>
      <c r="L169" s="7" t="s">
        <v>281</v>
      </c>
      <c r="M169" s="7">
        <v>353000.0</v>
      </c>
      <c r="N169" s="7" t="s">
        <v>122</v>
      </c>
      <c r="O169" s="7" t="s">
        <v>282</v>
      </c>
      <c r="P169" s="7" t="s">
        <v>189</v>
      </c>
      <c r="Q169" s="7" t="s">
        <v>42</v>
      </c>
      <c r="R169" s="7" t="s">
        <v>575</v>
      </c>
      <c r="S169" s="7" t="s">
        <v>44</v>
      </c>
      <c r="T169" s="7" t="s">
        <v>576</v>
      </c>
      <c r="U169" s="7" t="s">
        <v>125</v>
      </c>
      <c r="V169" s="7" t="s">
        <v>284</v>
      </c>
      <c r="W169" s="7" t="s">
        <v>285</v>
      </c>
      <c r="X169" s="7" t="s">
        <v>48</v>
      </c>
      <c r="Y169" s="7" t="s">
        <v>291</v>
      </c>
      <c r="Z169" s="7" t="s">
        <v>95</v>
      </c>
      <c r="AA169" s="7" t="s">
        <v>577</v>
      </c>
      <c r="AB169" s="7" t="s">
        <v>133</v>
      </c>
      <c r="AC169" s="6"/>
    </row>
    <row r="170">
      <c r="A170" s="4" t="str">
        <f t="shared" si="1"/>
        <v>169</v>
      </c>
      <c r="B170" s="7" t="s">
        <v>591</v>
      </c>
      <c r="C170" s="7" t="s">
        <v>592</v>
      </c>
      <c r="D170" s="7" t="s">
        <v>571</v>
      </c>
      <c r="E170" s="7" t="s">
        <v>572</v>
      </c>
      <c r="F170" s="7" t="s">
        <v>573</v>
      </c>
      <c r="G170" s="7" t="s">
        <v>166</v>
      </c>
      <c r="H170" s="7" t="s">
        <v>34</v>
      </c>
      <c r="I170" s="7" t="s">
        <v>104</v>
      </c>
      <c r="J170" s="7" t="s">
        <v>219</v>
      </c>
      <c r="K170" s="7" t="s">
        <v>574</v>
      </c>
      <c r="L170" s="7" t="s">
        <v>227</v>
      </c>
      <c r="M170" s="7">
        <v>392000.0</v>
      </c>
      <c r="N170" s="7" t="s">
        <v>122</v>
      </c>
      <c r="O170" s="7" t="s">
        <v>282</v>
      </c>
      <c r="P170" s="7" t="s">
        <v>41</v>
      </c>
      <c r="Q170" s="7" t="s">
        <v>42</v>
      </c>
      <c r="R170" s="7" t="s">
        <v>575</v>
      </c>
      <c r="S170" s="7" t="s">
        <v>44</v>
      </c>
      <c r="T170" s="7" t="s">
        <v>576</v>
      </c>
      <c r="U170" s="7" t="s">
        <v>125</v>
      </c>
      <c r="V170" s="7" t="s">
        <v>284</v>
      </c>
      <c r="W170" s="7" t="s">
        <v>285</v>
      </c>
      <c r="X170" s="7" t="s">
        <v>48</v>
      </c>
      <c r="Y170" s="7" t="s">
        <v>291</v>
      </c>
      <c r="Z170" s="7" t="s">
        <v>220</v>
      </c>
      <c r="AA170" s="7" t="s">
        <v>577</v>
      </c>
      <c r="AB170" s="7" t="s">
        <v>133</v>
      </c>
      <c r="AC170" s="6"/>
    </row>
    <row r="171">
      <c r="A171" s="4" t="str">
        <f t="shared" si="1"/>
        <v>170</v>
      </c>
      <c r="B171" s="7" t="s">
        <v>593</v>
      </c>
      <c r="C171" s="7" t="s">
        <v>594</v>
      </c>
      <c r="D171" s="7" t="s">
        <v>595</v>
      </c>
      <c r="E171" s="7" t="s">
        <v>596</v>
      </c>
      <c r="F171" s="7" t="s">
        <v>32</v>
      </c>
      <c r="G171" s="7" t="s">
        <v>316</v>
      </c>
      <c r="H171" s="8">
        <v>46227.0</v>
      </c>
      <c r="I171" s="7" t="s">
        <v>104</v>
      </c>
      <c r="J171" s="7" t="s">
        <v>219</v>
      </c>
      <c r="K171" s="7" t="s">
        <v>597</v>
      </c>
      <c r="L171" s="7" t="s">
        <v>68</v>
      </c>
      <c r="M171" s="7">
        <v>863000.0</v>
      </c>
      <c r="N171" s="7" t="s">
        <v>39</v>
      </c>
      <c r="O171" s="7" t="s">
        <v>58</v>
      </c>
      <c r="P171" s="7" t="s">
        <v>41</v>
      </c>
      <c r="Q171" s="7" t="s">
        <v>42</v>
      </c>
      <c r="R171" s="7" t="s">
        <v>598</v>
      </c>
      <c r="S171" s="7" t="s">
        <v>99</v>
      </c>
      <c r="T171" s="7" t="s">
        <v>45</v>
      </c>
      <c r="U171" s="7" t="s">
        <v>40</v>
      </c>
      <c r="V171" s="7" t="s">
        <v>320</v>
      </c>
      <c r="W171" s="7" t="s">
        <v>285</v>
      </c>
      <c r="X171" s="7" t="s">
        <v>321</v>
      </c>
      <c r="Y171" s="7" t="s">
        <v>49</v>
      </c>
      <c r="Z171" s="7" t="s">
        <v>215</v>
      </c>
      <c r="AA171" s="7" t="s">
        <v>599</v>
      </c>
      <c r="AB171" s="7" t="s">
        <v>79</v>
      </c>
      <c r="AC171" s="6"/>
    </row>
    <row r="172">
      <c r="A172" s="4" t="str">
        <f t="shared" si="1"/>
        <v>171</v>
      </c>
      <c r="B172" s="7" t="s">
        <v>403</v>
      </c>
      <c r="C172" s="7" t="s">
        <v>600</v>
      </c>
      <c r="D172" s="7" t="s">
        <v>595</v>
      </c>
      <c r="E172" s="7" t="s">
        <v>596</v>
      </c>
      <c r="F172" s="7" t="s">
        <v>55</v>
      </c>
      <c r="G172" s="7" t="s">
        <v>316</v>
      </c>
      <c r="H172" s="7" t="s">
        <v>34</v>
      </c>
      <c r="I172" s="7" t="s">
        <v>104</v>
      </c>
      <c r="J172" s="7" t="s">
        <v>219</v>
      </c>
      <c r="K172" s="7" t="s">
        <v>597</v>
      </c>
      <c r="L172" s="7" t="s">
        <v>318</v>
      </c>
      <c r="M172" s="7">
        <v>450000.0</v>
      </c>
      <c r="N172" s="7" t="s">
        <v>39</v>
      </c>
      <c r="O172" s="7" t="s">
        <v>58</v>
      </c>
      <c r="P172" s="7" t="s">
        <v>69</v>
      </c>
      <c r="Q172" s="7" t="s">
        <v>42</v>
      </c>
      <c r="R172" s="7" t="s">
        <v>601</v>
      </c>
      <c r="S172" s="7" t="s">
        <v>232</v>
      </c>
      <c r="T172" s="7" t="s">
        <v>45</v>
      </c>
      <c r="U172" s="7" t="s">
        <v>40</v>
      </c>
      <c r="V172" s="7" t="s">
        <v>320</v>
      </c>
      <c r="W172" s="7" t="s">
        <v>285</v>
      </c>
      <c r="X172" s="7" t="s">
        <v>321</v>
      </c>
      <c r="Y172" s="7" t="s">
        <v>86</v>
      </c>
      <c r="Z172" s="7" t="s">
        <v>220</v>
      </c>
      <c r="AA172" s="7" t="s">
        <v>599</v>
      </c>
      <c r="AB172" s="7" t="s">
        <v>62</v>
      </c>
      <c r="AC172" s="6"/>
    </row>
    <row r="173">
      <c r="A173" s="4" t="str">
        <f t="shared" si="1"/>
        <v>172</v>
      </c>
      <c r="B173" s="7" t="s">
        <v>602</v>
      </c>
      <c r="C173" s="7" t="s">
        <v>603</v>
      </c>
      <c r="D173" s="7" t="s">
        <v>595</v>
      </c>
      <c r="E173" s="7" t="s">
        <v>596</v>
      </c>
      <c r="F173" s="7" t="s">
        <v>98</v>
      </c>
      <c r="G173" s="7" t="s">
        <v>316</v>
      </c>
      <c r="H173" s="7" t="s">
        <v>34</v>
      </c>
      <c r="I173" s="7" t="s">
        <v>75</v>
      </c>
      <c r="J173" s="7" t="s">
        <v>219</v>
      </c>
      <c r="K173" s="7" t="s">
        <v>597</v>
      </c>
      <c r="L173" s="7" t="s">
        <v>318</v>
      </c>
      <c r="M173" s="7">
        <v>903000.0</v>
      </c>
      <c r="N173" s="7" t="s">
        <v>39</v>
      </c>
      <c r="O173" s="7" t="s">
        <v>40</v>
      </c>
      <c r="P173" s="7" t="s">
        <v>168</v>
      </c>
      <c r="Q173" s="7" t="s">
        <v>42</v>
      </c>
      <c r="R173" s="7" t="s">
        <v>604</v>
      </c>
      <c r="S173" s="7" t="s">
        <v>329</v>
      </c>
      <c r="T173" s="7" t="s">
        <v>45</v>
      </c>
      <c r="U173" s="7" t="s">
        <v>58</v>
      </c>
      <c r="V173" s="7" t="s">
        <v>320</v>
      </c>
      <c r="W173" s="7" t="s">
        <v>285</v>
      </c>
      <c r="X173" s="7" t="s">
        <v>321</v>
      </c>
      <c r="Y173" s="7" t="s">
        <v>86</v>
      </c>
      <c r="Z173" s="7" t="s">
        <v>215</v>
      </c>
      <c r="AA173" s="7" t="s">
        <v>599</v>
      </c>
      <c r="AB173" s="7" t="s">
        <v>62</v>
      </c>
      <c r="AC173" s="6"/>
    </row>
    <row r="174">
      <c r="A174" s="4" t="str">
        <f t="shared" si="1"/>
        <v>173</v>
      </c>
      <c r="B174" s="7" t="s">
        <v>605</v>
      </c>
      <c r="C174" s="7" t="s">
        <v>606</v>
      </c>
      <c r="D174" s="7" t="s">
        <v>595</v>
      </c>
      <c r="E174" s="7" t="s">
        <v>596</v>
      </c>
      <c r="F174" s="7" t="s">
        <v>55</v>
      </c>
      <c r="G174" s="7" t="s">
        <v>316</v>
      </c>
      <c r="H174" s="8">
        <v>46227.0</v>
      </c>
      <c r="I174" s="7" t="s">
        <v>104</v>
      </c>
      <c r="J174" s="7" t="s">
        <v>167</v>
      </c>
      <c r="K174" s="7" t="s">
        <v>597</v>
      </c>
      <c r="L174" s="7" t="s">
        <v>318</v>
      </c>
      <c r="M174" s="7">
        <v>571000.0</v>
      </c>
      <c r="N174" s="7" t="s">
        <v>39</v>
      </c>
      <c r="O174" s="7" t="s">
        <v>105</v>
      </c>
      <c r="P174" s="7" t="s">
        <v>41</v>
      </c>
      <c r="Q174" s="7" t="s">
        <v>42</v>
      </c>
      <c r="R174" s="7" t="s">
        <v>598</v>
      </c>
      <c r="S174" s="7" t="s">
        <v>44</v>
      </c>
      <c r="T174" s="7" t="s">
        <v>78</v>
      </c>
      <c r="U174" s="7" t="s">
        <v>58</v>
      </c>
      <c r="V174" s="7" t="s">
        <v>320</v>
      </c>
      <c r="W174" s="7" t="s">
        <v>285</v>
      </c>
      <c r="X174" s="7" t="s">
        <v>321</v>
      </c>
      <c r="Y174" s="7" t="s">
        <v>86</v>
      </c>
      <c r="Z174" s="7" t="s">
        <v>215</v>
      </c>
      <c r="AA174" s="7" t="s">
        <v>599</v>
      </c>
      <c r="AB174" s="7" t="s">
        <v>79</v>
      </c>
      <c r="AC174" s="6"/>
    </row>
    <row r="175">
      <c r="A175" s="4" t="str">
        <f t="shared" si="1"/>
        <v>174</v>
      </c>
      <c r="B175" s="7" t="s">
        <v>607</v>
      </c>
      <c r="C175" s="7" t="s">
        <v>608</v>
      </c>
      <c r="D175" s="7" t="s">
        <v>595</v>
      </c>
      <c r="E175" s="7" t="s">
        <v>596</v>
      </c>
      <c r="F175" s="7" t="s">
        <v>55</v>
      </c>
      <c r="G175" s="7" t="s">
        <v>316</v>
      </c>
      <c r="H175" s="7" t="s">
        <v>115</v>
      </c>
      <c r="I175" s="7" t="s">
        <v>104</v>
      </c>
      <c r="J175" s="7" t="s">
        <v>219</v>
      </c>
      <c r="K175" s="7" t="s">
        <v>597</v>
      </c>
      <c r="L175" s="7" t="s">
        <v>38</v>
      </c>
      <c r="M175" s="7">
        <v>427000.0</v>
      </c>
      <c r="N175" s="7" t="s">
        <v>39</v>
      </c>
      <c r="O175" s="7" t="s">
        <v>40</v>
      </c>
      <c r="P175" s="7" t="s">
        <v>41</v>
      </c>
      <c r="Q175" s="7" t="s">
        <v>42</v>
      </c>
      <c r="R175" s="7" t="s">
        <v>598</v>
      </c>
      <c r="S175" s="7" t="s">
        <v>108</v>
      </c>
      <c r="T175" s="7" t="s">
        <v>45</v>
      </c>
      <c r="U175" s="7" t="s">
        <v>58</v>
      </c>
      <c r="V175" s="7" t="s">
        <v>320</v>
      </c>
      <c r="W175" s="7" t="s">
        <v>285</v>
      </c>
      <c r="X175" s="7" t="s">
        <v>321</v>
      </c>
      <c r="Y175" s="7" t="s">
        <v>86</v>
      </c>
      <c r="Z175" s="7" t="s">
        <v>215</v>
      </c>
      <c r="AA175" s="7" t="s">
        <v>599</v>
      </c>
      <c r="AB175" s="7" t="s">
        <v>79</v>
      </c>
      <c r="AC175" s="6"/>
    </row>
    <row r="176">
      <c r="A176" s="4" t="str">
        <f t="shared" si="1"/>
        <v>175</v>
      </c>
      <c r="B176" s="7" t="s">
        <v>609</v>
      </c>
      <c r="C176" s="7" t="s">
        <v>610</v>
      </c>
      <c r="D176" s="7" t="s">
        <v>595</v>
      </c>
      <c r="E176" s="7" t="s">
        <v>596</v>
      </c>
      <c r="F176" s="7" t="s">
        <v>55</v>
      </c>
      <c r="G176" s="7" t="s">
        <v>316</v>
      </c>
      <c r="H176" s="7" t="s">
        <v>115</v>
      </c>
      <c r="I176" s="7" t="s">
        <v>104</v>
      </c>
      <c r="J176" s="7" t="s">
        <v>67</v>
      </c>
      <c r="K176" s="7" t="s">
        <v>597</v>
      </c>
      <c r="L176" s="7" t="s">
        <v>348</v>
      </c>
      <c r="M176" s="7">
        <v>713000.0</v>
      </c>
      <c r="N176" s="7" t="s">
        <v>39</v>
      </c>
      <c r="O176" s="7" t="s">
        <v>58</v>
      </c>
      <c r="P176" s="7" t="s">
        <v>168</v>
      </c>
      <c r="Q176" s="7" t="s">
        <v>42</v>
      </c>
      <c r="R176" s="7" t="s">
        <v>598</v>
      </c>
      <c r="S176" s="7" t="s">
        <v>147</v>
      </c>
      <c r="T176" s="7" t="s">
        <v>124</v>
      </c>
      <c r="U176" s="7" t="s">
        <v>40</v>
      </c>
      <c r="V176" s="7" t="s">
        <v>320</v>
      </c>
      <c r="W176" s="7" t="s">
        <v>285</v>
      </c>
      <c r="X176" s="7" t="s">
        <v>321</v>
      </c>
      <c r="Y176" s="7" t="s">
        <v>86</v>
      </c>
      <c r="Z176" s="7" t="s">
        <v>220</v>
      </c>
      <c r="AA176" s="7" t="s">
        <v>599</v>
      </c>
      <c r="AB176" s="7" t="s">
        <v>62</v>
      </c>
      <c r="AC176" s="6"/>
    </row>
    <row r="177">
      <c r="A177" s="4" t="str">
        <f t="shared" si="1"/>
        <v>176</v>
      </c>
      <c r="B177" s="7" t="s">
        <v>611</v>
      </c>
      <c r="C177" s="7" t="s">
        <v>612</v>
      </c>
      <c r="D177" s="7" t="s">
        <v>595</v>
      </c>
      <c r="E177" s="7" t="s">
        <v>596</v>
      </c>
      <c r="F177" s="7" t="s">
        <v>32</v>
      </c>
      <c r="G177" s="7" t="s">
        <v>316</v>
      </c>
      <c r="H177" s="7" t="s">
        <v>115</v>
      </c>
      <c r="I177" s="7" t="s">
        <v>104</v>
      </c>
      <c r="J177" s="7" t="s">
        <v>219</v>
      </c>
      <c r="K177" s="7" t="s">
        <v>597</v>
      </c>
      <c r="L177" s="7" t="s">
        <v>348</v>
      </c>
      <c r="M177" s="7">
        <v>869000.0</v>
      </c>
      <c r="N177" s="7" t="s">
        <v>39</v>
      </c>
      <c r="O177" s="7" t="s">
        <v>40</v>
      </c>
      <c r="P177" s="7" t="s">
        <v>41</v>
      </c>
      <c r="Q177" s="7" t="s">
        <v>42</v>
      </c>
      <c r="R177" s="7" t="s">
        <v>598</v>
      </c>
      <c r="S177" s="7" t="s">
        <v>44</v>
      </c>
      <c r="T177" s="7" t="s">
        <v>78</v>
      </c>
      <c r="U177" s="7" t="s">
        <v>58</v>
      </c>
      <c r="V177" s="7" t="s">
        <v>320</v>
      </c>
      <c r="W177" s="7" t="s">
        <v>285</v>
      </c>
      <c r="X177" s="7" t="s">
        <v>321</v>
      </c>
      <c r="Y177" s="7" t="s">
        <v>86</v>
      </c>
      <c r="Z177" s="7" t="s">
        <v>220</v>
      </c>
      <c r="AA177" s="7" t="s">
        <v>599</v>
      </c>
      <c r="AB177" s="7" t="s">
        <v>62</v>
      </c>
      <c r="AC177" s="6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1.13"/>
    <col customWidth="1" min="5" max="11" width="17.0"/>
    <col customWidth="1" min="12" max="12" width="9.88"/>
    <col customWidth="1" min="13" max="15" width="17.0"/>
    <col customWidth="1" min="16" max="16" width="19.25"/>
    <col customWidth="1" min="17" max="20" width="17.0"/>
    <col customWidth="1" min="21" max="21" width="15.38"/>
    <col customWidth="1" min="22" max="22" width="19.13"/>
    <col customWidth="1" min="23" max="23" width="15.25"/>
    <col customWidth="1" min="24" max="25" width="17.0"/>
    <col customWidth="1" min="26" max="26" width="13.38"/>
    <col customWidth="1" min="27" max="30" width="17.0"/>
    <col customWidth="1" min="31" max="31" width="14.38"/>
    <col customWidth="1" min="32" max="33" width="22.38"/>
  </cols>
  <sheetData>
    <row r="1">
      <c r="A1" s="10" t="s">
        <v>0</v>
      </c>
      <c r="B1" s="11" t="s">
        <v>613</v>
      </c>
      <c r="C1" s="11" t="s">
        <v>614</v>
      </c>
      <c r="D1" s="11" t="s">
        <v>615</v>
      </c>
      <c r="E1" s="11" t="s">
        <v>616</v>
      </c>
      <c r="F1" s="11" t="s">
        <v>617</v>
      </c>
      <c r="G1" s="11" t="s">
        <v>618</v>
      </c>
      <c r="H1" s="11" t="s">
        <v>619</v>
      </c>
      <c r="I1" s="11" t="s">
        <v>620</v>
      </c>
      <c r="J1" s="11" t="s">
        <v>621</v>
      </c>
      <c r="K1" s="11" t="s">
        <v>16</v>
      </c>
      <c r="L1" s="11" t="s">
        <v>622</v>
      </c>
      <c r="M1" s="11" t="s">
        <v>623</v>
      </c>
      <c r="N1" s="11" t="s">
        <v>624</v>
      </c>
      <c r="O1" s="11" t="s">
        <v>625</v>
      </c>
      <c r="P1" s="11" t="s">
        <v>15</v>
      </c>
      <c r="Q1" s="11" t="s">
        <v>626</v>
      </c>
      <c r="R1" s="11" t="s">
        <v>627</v>
      </c>
      <c r="S1" s="11" t="s">
        <v>628</v>
      </c>
      <c r="T1" s="11" t="s">
        <v>629</v>
      </c>
      <c r="U1" s="11" t="s">
        <v>630</v>
      </c>
      <c r="V1" s="11" t="s">
        <v>631</v>
      </c>
      <c r="W1" s="11" t="s">
        <v>632</v>
      </c>
      <c r="X1" s="11" t="s">
        <v>633</v>
      </c>
      <c r="Y1" s="11" t="s">
        <v>634</v>
      </c>
      <c r="Z1" s="11" t="s">
        <v>635</v>
      </c>
      <c r="AA1" s="11" t="s">
        <v>636</v>
      </c>
      <c r="AB1" s="11" t="s">
        <v>637</v>
      </c>
      <c r="AC1" s="11" t="s">
        <v>638</v>
      </c>
      <c r="AD1" s="11" t="s">
        <v>639</v>
      </c>
      <c r="AE1" s="11" t="s">
        <v>640</v>
      </c>
      <c r="AF1" s="11" t="s">
        <v>641</v>
      </c>
      <c r="AG1" s="11" t="s">
        <v>642</v>
      </c>
    </row>
    <row r="2">
      <c r="A2" s="12" t="str">
        <f t="shared" ref="A2:A180" si="1">TEXT(ROW(A1),"000")
</f>
        <v>001</v>
      </c>
      <c r="B2" s="13" t="s">
        <v>643</v>
      </c>
      <c r="C2" s="13">
        <v>49.0</v>
      </c>
      <c r="D2" s="13" t="s">
        <v>644</v>
      </c>
      <c r="E2" s="13" t="s">
        <v>645</v>
      </c>
      <c r="F2" s="14" t="s">
        <v>646</v>
      </c>
      <c r="G2" s="15" t="str">
        <f t="shared" ref="G2:G101" si="2">CHOOSE(RANDBETWEEN(1, 4), "Beginner", "Intermediate", "Advanced", "No")</f>
        <v>No</v>
      </c>
      <c r="H2" s="16" t="str">
        <f t="shared" ref="H2:H101" si="3">CHOOSE(RANDBETWEEN(1, 5), "Южный Казахстан", "Восточный Казахстан", "Центральный Казахстан", "Западный Казахстан", "Северный Казахстан")</f>
        <v>Северный Казахстан</v>
      </c>
      <c r="I2" s="13" t="s">
        <v>647</v>
      </c>
      <c r="J2" s="13" t="str">
        <f t="shared" ref="J2:J101" si="4">IF(RAND() &lt; 0.9, "Гражданин РК", CHOOSE(RANDBETWEEN(1, 5), "РФ", "Кыргызстан", "Узбекистан", "Китай", "Таджикистан"))</f>
        <v>Китай</v>
      </c>
      <c r="K2" s="13" t="s">
        <v>648</v>
      </c>
      <c r="L2" s="13">
        <f t="shared" ref="L2:L101" si="5">IF(K2="Холост/Незамужем", IF(RAND() &lt; 0.95, 0, 1), IF(OR(K2="Женат/Замужем", K2="Разведен(а)"), CHOOSE(RANDBETWEEN(1, 5), 0, 1, 2, 3, RANDBETWEEN(3, 5)), 0))</f>
        <v>4</v>
      </c>
      <c r="M2" s="13" t="str">
        <f t="shared" ref="M2:M101" si="6">IFS(C2 &gt;= 60, "пенсионер", AND(C2 &gt;= 17, C2 &lt;= 23, RAND() &lt; 0.8), "студент", AND(B2 = "Жен", C2 &gt;= 20, C2 &lt;= 40, RAND() &lt; 0.15), "декрет", TRUE, CHOOSE(RANDBETWEEN(1, 3), "наемный работник","самозанятый", "безработный"))</f>
        <v>безработный</v>
      </c>
      <c r="N2" s="13" t="str">
        <f t="shared" ref="N2:N101" si="7">IFS(AND(K2="Холост/Незамужем", RAND()&lt;0.15), "свадьба",AND(K2="Женат/Замужем",RAND()&lt;0.2), "рождение ребенка",AND(C2&lt;25, RAND()&lt;0.2), "обучение (ВУЗ)",TRUE, CHOOSE(RANDBETWEEN(1, 7), "кредит", "поиск новой работы", "покупка авто", "переезд", "ремонт", "отпуск за границей", "повышение квалификации"))</f>
        <v>отпуск за границей</v>
      </c>
      <c r="O2" s="13" t="str">
        <f t="shared" ref="O2:O101" si="8">CHOOSE(RANDBETWEEN(1, 4), "Да", "Да", "Нет", "Только за счет компании")</f>
        <v>Только за счет компании</v>
      </c>
      <c r="P2" s="13" t="s">
        <v>649</v>
      </c>
      <c r="Q2" s="13" t="str">
        <f t="shared" ref="Q2:Q101" si="9">CHOOSE(RANDBETWEEN(1, 10), "Педагогика", "Медицина", "Экономика", "Строительство", "IT", "Сервис", "Маркетинг", "Юриспруденция", "Логистика", "Дизайн")</f>
        <v>Сервис</v>
      </c>
      <c r="R2" s="13" t="str">
        <f t="shared" ref="R2:R101" si="10">IFS(
  Q2="Педагогика", "Образование",
  Q2="Медицина", "Здравоохранение",
  Q2="Экономика", CHOOSE(RANDBETWEEN(1, 2), "Финансы", "Торговля"),
  Q2="Строительство", "Производство",
  Q2="IT", CHOOSE(RANDBETWEEN(1, 2), "IT", "Услуги"),
  Q2="Сервис", "Услуги",
  Q2="Маркетинг", "Торговля",
  Q2="Юриспруденция", "Услуги",
  Q2="Логистика", "Транспорт",
  Q2="Дизайн", "Услуги",
  TRUE, "Нет"
)</f>
        <v>Услуги</v>
      </c>
      <c r="S2" s="13" t="s">
        <v>650</v>
      </c>
      <c r="T2" s="17" t="str">
        <f t="shared" ref="T2:T101" si="11">CHOOSE(RANDBETWEEN(1, 3), "Собственное", "Аренда", "С родителями")</f>
        <v>Собственное</v>
      </c>
      <c r="U2" s="13" t="s">
        <v>651</v>
      </c>
      <c r="V2" s="13" t="s">
        <v>652</v>
      </c>
      <c r="W2" s="13" t="s">
        <v>653</v>
      </c>
      <c r="X2" s="13">
        <v>2500.0</v>
      </c>
      <c r="Y2" s="13" t="s">
        <v>651</v>
      </c>
      <c r="Z2" s="13" t="s">
        <v>651</v>
      </c>
      <c r="AA2" s="13" t="s">
        <v>654</v>
      </c>
      <c r="AB2" s="13" t="str">
        <f t="shared" ref="AB2:AB101" si="12">IF(AC2="Есть", CHOOSE(RANDBETWEEN(1, 4), "B", "B", "B", "B, C"), CHOOSE(RANDBETWEEN(1, 6), "A", "B", "C", "D", "Нет", "Нет"))</f>
        <v>B, C</v>
      </c>
      <c r="AC2" s="13" t="s">
        <v>655</v>
      </c>
      <c r="AD2" s="13" t="s">
        <v>656</v>
      </c>
      <c r="AE2" s="13">
        <v>7.0</v>
      </c>
      <c r="AF2" s="13" t="s">
        <v>657</v>
      </c>
      <c r="AG2" s="13" t="str">
        <f t="shared" ref="AG2:AG101" si="13">IF(RAND() &lt; 0.6, "Без ограничений", IFS(C2 &gt; 50,CHOOSE(RANDBETWEEN(1, 3),"Проблемы со спиной", "Зрение", "Слух"),C2 &lt; 50, CHOOSE(RANDBETWEEN(1, 3), "Аллергия", "Зрение", "Без ограничений"),TRUE, CHOOSE(RANDBETWEEN(1, 5), "Мобильность ограничена", "Проблемы со спиной", "Зрение", "Диабет", "Слух")))</f>
        <v>Без ограничений</v>
      </c>
    </row>
    <row r="3">
      <c r="A3" s="12" t="str">
        <f t="shared" si="1"/>
        <v>002</v>
      </c>
      <c r="B3" s="17" t="s">
        <v>658</v>
      </c>
      <c r="C3" s="13">
        <v>45.0</v>
      </c>
      <c r="D3" s="17" t="s">
        <v>644</v>
      </c>
      <c r="E3" s="17" t="s">
        <v>659</v>
      </c>
      <c r="F3" s="18" t="s">
        <v>645</v>
      </c>
      <c r="G3" s="15" t="str">
        <f t="shared" si="2"/>
        <v>Advanced</v>
      </c>
      <c r="H3" s="16" t="str">
        <f t="shared" si="3"/>
        <v>Южный Казахстан</v>
      </c>
      <c r="I3" s="17" t="s">
        <v>647</v>
      </c>
      <c r="J3" s="13" t="str">
        <f t="shared" si="4"/>
        <v>Гражданин РК</v>
      </c>
      <c r="K3" s="13" t="s">
        <v>648</v>
      </c>
      <c r="L3" s="13">
        <f t="shared" si="5"/>
        <v>1</v>
      </c>
      <c r="M3" s="13" t="str">
        <f t="shared" si="6"/>
        <v>наемный работник</v>
      </c>
      <c r="N3" s="13" t="str">
        <f t="shared" si="7"/>
        <v>переезд</v>
      </c>
      <c r="O3" s="13" t="str">
        <f t="shared" si="8"/>
        <v>Да</v>
      </c>
      <c r="P3" s="17" t="s">
        <v>660</v>
      </c>
      <c r="Q3" s="13" t="str">
        <f t="shared" si="9"/>
        <v>Сервис</v>
      </c>
      <c r="R3" s="13" t="str">
        <f t="shared" si="10"/>
        <v>Услуги</v>
      </c>
      <c r="S3" s="17" t="s">
        <v>661</v>
      </c>
      <c r="T3" s="17" t="str">
        <f t="shared" si="11"/>
        <v>С родителями</v>
      </c>
      <c r="U3" s="17" t="s">
        <v>661</v>
      </c>
      <c r="V3" s="17" t="s">
        <v>662</v>
      </c>
      <c r="W3" s="17" t="s">
        <v>663</v>
      </c>
      <c r="X3" s="17">
        <v>2500.0</v>
      </c>
      <c r="Y3" s="17" t="s">
        <v>651</v>
      </c>
      <c r="Z3" s="17" t="s">
        <v>661</v>
      </c>
      <c r="AA3" s="17" t="s">
        <v>664</v>
      </c>
      <c r="AB3" s="13" t="str">
        <f t="shared" si="12"/>
        <v>A</v>
      </c>
      <c r="AC3" s="17" t="s">
        <v>661</v>
      </c>
      <c r="AD3" s="17" t="s">
        <v>661</v>
      </c>
      <c r="AE3" s="17">
        <v>9.0</v>
      </c>
      <c r="AF3" s="17" t="s">
        <v>665</v>
      </c>
      <c r="AG3" s="13" t="str">
        <f t="shared" si="13"/>
        <v>Зрение</v>
      </c>
    </row>
    <row r="4">
      <c r="A4" s="12" t="str">
        <f t="shared" si="1"/>
        <v>003</v>
      </c>
      <c r="B4" s="17" t="s">
        <v>658</v>
      </c>
      <c r="C4" s="13">
        <v>46.0</v>
      </c>
      <c r="D4" s="17" t="s">
        <v>666</v>
      </c>
      <c r="E4" s="17" t="s">
        <v>646</v>
      </c>
      <c r="F4" s="18" t="s">
        <v>659</v>
      </c>
      <c r="G4" s="15" t="str">
        <f t="shared" si="2"/>
        <v>Intermediate</v>
      </c>
      <c r="H4" s="16" t="str">
        <f t="shared" si="3"/>
        <v>Южный Казахстан</v>
      </c>
      <c r="I4" s="17" t="s">
        <v>667</v>
      </c>
      <c r="J4" s="13" t="str">
        <f t="shared" si="4"/>
        <v>Гражданин РК</v>
      </c>
      <c r="K4" s="17" t="s">
        <v>668</v>
      </c>
      <c r="L4" s="13">
        <f t="shared" si="5"/>
        <v>0</v>
      </c>
      <c r="M4" s="13" t="str">
        <f t="shared" si="6"/>
        <v>самозанятый</v>
      </c>
      <c r="N4" s="13" t="str">
        <f t="shared" si="7"/>
        <v>повышение квалификации</v>
      </c>
      <c r="O4" s="13" t="str">
        <f t="shared" si="8"/>
        <v>Только за счет компании</v>
      </c>
      <c r="P4" s="17" t="s">
        <v>669</v>
      </c>
      <c r="Q4" s="13" t="str">
        <f t="shared" si="9"/>
        <v>Дизайн</v>
      </c>
      <c r="R4" s="13" t="str">
        <f t="shared" si="10"/>
        <v>Услуги</v>
      </c>
      <c r="S4" s="17" t="s">
        <v>661</v>
      </c>
      <c r="T4" s="17" t="str">
        <f t="shared" si="11"/>
        <v>Собственное</v>
      </c>
      <c r="U4" s="17" t="s">
        <v>661</v>
      </c>
      <c r="V4" s="17" t="s">
        <v>662</v>
      </c>
      <c r="W4" s="17" t="s">
        <v>670</v>
      </c>
      <c r="X4" s="17">
        <v>4000.0</v>
      </c>
      <c r="Y4" s="17" t="s">
        <v>651</v>
      </c>
      <c r="Z4" s="17" t="s">
        <v>661</v>
      </c>
      <c r="AA4" s="17" t="s">
        <v>664</v>
      </c>
      <c r="AB4" s="13" t="str">
        <f t="shared" si="12"/>
        <v>B</v>
      </c>
      <c r="AC4" s="17" t="s">
        <v>655</v>
      </c>
      <c r="AD4" s="17" t="s">
        <v>671</v>
      </c>
      <c r="AE4" s="17">
        <v>3.0</v>
      </c>
      <c r="AF4" s="17" t="s">
        <v>672</v>
      </c>
      <c r="AG4" s="13" t="str">
        <f t="shared" si="13"/>
        <v>Без ограничений</v>
      </c>
    </row>
    <row r="5">
      <c r="A5" s="12" t="str">
        <f t="shared" si="1"/>
        <v>004</v>
      </c>
      <c r="B5" s="17" t="s">
        <v>658</v>
      </c>
      <c r="C5" s="13">
        <v>44.0</v>
      </c>
      <c r="D5" s="17" t="s">
        <v>666</v>
      </c>
      <c r="E5" s="17" t="s">
        <v>646</v>
      </c>
      <c r="F5" s="18" t="s">
        <v>645</v>
      </c>
      <c r="G5" s="15" t="str">
        <f t="shared" si="2"/>
        <v>No</v>
      </c>
      <c r="H5" s="16" t="str">
        <f t="shared" si="3"/>
        <v>Западный Казахстан</v>
      </c>
      <c r="I5" s="17" t="s">
        <v>673</v>
      </c>
      <c r="J5" s="13" t="str">
        <f t="shared" si="4"/>
        <v>Гражданин РК</v>
      </c>
      <c r="K5" s="17" t="s">
        <v>648</v>
      </c>
      <c r="L5" s="13">
        <f t="shared" si="5"/>
        <v>1</v>
      </c>
      <c r="M5" s="13" t="str">
        <f t="shared" si="6"/>
        <v>наемный работник</v>
      </c>
      <c r="N5" s="13" t="str">
        <f t="shared" si="7"/>
        <v>повышение квалификации</v>
      </c>
      <c r="O5" s="13" t="str">
        <f t="shared" si="8"/>
        <v>Да</v>
      </c>
      <c r="P5" s="17" t="s">
        <v>660</v>
      </c>
      <c r="Q5" s="13" t="str">
        <f t="shared" si="9"/>
        <v>Маркетинг</v>
      </c>
      <c r="R5" s="13" t="str">
        <f t="shared" si="10"/>
        <v>Торговля</v>
      </c>
      <c r="S5" s="17" t="s">
        <v>674</v>
      </c>
      <c r="T5" s="17" t="str">
        <f t="shared" si="11"/>
        <v>Аренда</v>
      </c>
      <c r="U5" s="17" t="s">
        <v>661</v>
      </c>
      <c r="V5" s="17" t="s">
        <v>675</v>
      </c>
      <c r="W5" s="17" t="s">
        <v>663</v>
      </c>
      <c r="X5" s="17">
        <v>800.0</v>
      </c>
      <c r="Y5" s="17" t="s">
        <v>651</v>
      </c>
      <c r="Z5" s="17" t="s">
        <v>661</v>
      </c>
      <c r="AA5" s="17" t="s">
        <v>676</v>
      </c>
      <c r="AB5" s="13" t="str">
        <f t="shared" si="12"/>
        <v>B, C</v>
      </c>
      <c r="AC5" s="17" t="s">
        <v>655</v>
      </c>
      <c r="AD5" s="17" t="s">
        <v>677</v>
      </c>
      <c r="AE5" s="17">
        <v>7.0</v>
      </c>
      <c r="AF5" s="17" t="s">
        <v>665</v>
      </c>
      <c r="AG5" s="13" t="str">
        <f t="shared" si="13"/>
        <v>Без ограничений</v>
      </c>
    </row>
    <row r="6">
      <c r="A6" s="12" t="str">
        <f t="shared" si="1"/>
        <v>005</v>
      </c>
      <c r="B6" s="17" t="s">
        <v>643</v>
      </c>
      <c r="C6" s="13">
        <v>40.0</v>
      </c>
      <c r="D6" s="17" t="s">
        <v>666</v>
      </c>
      <c r="E6" s="17" t="s">
        <v>646</v>
      </c>
      <c r="F6" s="18" t="s">
        <v>659</v>
      </c>
      <c r="G6" s="15" t="str">
        <f t="shared" si="2"/>
        <v>Beginner</v>
      </c>
      <c r="H6" s="16" t="str">
        <f t="shared" si="3"/>
        <v>Восточный Казахстан</v>
      </c>
      <c r="I6" s="17" t="s">
        <v>667</v>
      </c>
      <c r="J6" s="13" t="str">
        <f t="shared" si="4"/>
        <v>Гражданин РК</v>
      </c>
      <c r="K6" s="17" t="s">
        <v>668</v>
      </c>
      <c r="L6" s="13">
        <f t="shared" si="5"/>
        <v>0</v>
      </c>
      <c r="M6" s="13" t="str">
        <f t="shared" si="6"/>
        <v>безработный</v>
      </c>
      <c r="N6" s="13" t="str">
        <f t="shared" si="7"/>
        <v>кредит</v>
      </c>
      <c r="O6" s="13" t="str">
        <f t="shared" si="8"/>
        <v>Да</v>
      </c>
      <c r="P6" s="17" t="s">
        <v>678</v>
      </c>
      <c r="Q6" s="13" t="str">
        <f t="shared" si="9"/>
        <v>Маркетинг</v>
      </c>
      <c r="R6" s="13" t="str">
        <f t="shared" si="10"/>
        <v>Торговля</v>
      </c>
      <c r="S6" s="17" t="s">
        <v>661</v>
      </c>
      <c r="T6" s="17" t="str">
        <f t="shared" si="11"/>
        <v>Аренда</v>
      </c>
      <c r="U6" s="17" t="s">
        <v>661</v>
      </c>
      <c r="V6" s="17" t="s">
        <v>675</v>
      </c>
      <c r="W6" s="17" t="s">
        <v>663</v>
      </c>
      <c r="X6" s="17">
        <v>4000.0</v>
      </c>
      <c r="Y6" s="17" t="s">
        <v>651</v>
      </c>
      <c r="Z6" s="17" t="s">
        <v>661</v>
      </c>
      <c r="AA6" s="17" t="s">
        <v>654</v>
      </c>
      <c r="AB6" s="13" t="str">
        <f t="shared" si="12"/>
        <v>B, C</v>
      </c>
      <c r="AC6" s="17" t="s">
        <v>655</v>
      </c>
      <c r="AD6" s="17" t="s">
        <v>661</v>
      </c>
      <c r="AE6" s="17">
        <v>3.0</v>
      </c>
      <c r="AF6" s="17" t="s">
        <v>679</v>
      </c>
      <c r="AG6" s="13" t="str">
        <f t="shared" si="13"/>
        <v>Без ограничений</v>
      </c>
    </row>
    <row r="7">
      <c r="A7" s="12" t="str">
        <f t="shared" si="1"/>
        <v>006</v>
      </c>
      <c r="B7" s="17" t="s">
        <v>643</v>
      </c>
      <c r="C7" s="13">
        <v>44.0</v>
      </c>
      <c r="D7" s="17" t="s">
        <v>666</v>
      </c>
      <c r="E7" s="17" t="s">
        <v>646</v>
      </c>
      <c r="F7" s="18" t="s">
        <v>645</v>
      </c>
      <c r="G7" s="15" t="str">
        <f t="shared" si="2"/>
        <v>Intermediate</v>
      </c>
      <c r="H7" s="16" t="str">
        <f t="shared" si="3"/>
        <v>Центральный Казахстан</v>
      </c>
      <c r="I7" s="17" t="s">
        <v>673</v>
      </c>
      <c r="J7" s="13" t="str">
        <f t="shared" si="4"/>
        <v>Гражданин РК</v>
      </c>
      <c r="K7" s="17" t="s">
        <v>668</v>
      </c>
      <c r="L7" s="13">
        <f t="shared" si="5"/>
        <v>0</v>
      </c>
      <c r="M7" s="13" t="str">
        <f t="shared" si="6"/>
        <v>наемный работник</v>
      </c>
      <c r="N7" s="13" t="str">
        <f t="shared" si="7"/>
        <v>покупка авто</v>
      </c>
      <c r="O7" s="13" t="str">
        <f t="shared" si="8"/>
        <v>Только за счет компании</v>
      </c>
      <c r="P7" s="17" t="s">
        <v>660</v>
      </c>
      <c r="Q7" s="13" t="str">
        <f t="shared" si="9"/>
        <v>Дизайн</v>
      </c>
      <c r="R7" s="13" t="str">
        <f t="shared" si="10"/>
        <v>Услуги</v>
      </c>
      <c r="S7" s="17" t="s">
        <v>650</v>
      </c>
      <c r="T7" s="17" t="str">
        <f t="shared" si="11"/>
        <v>С родителями</v>
      </c>
      <c r="U7" s="17" t="s">
        <v>651</v>
      </c>
      <c r="V7" s="17" t="s">
        <v>675</v>
      </c>
      <c r="W7" s="17" t="s">
        <v>653</v>
      </c>
      <c r="X7" s="17">
        <v>1000.0</v>
      </c>
      <c r="Y7" s="17" t="s">
        <v>651</v>
      </c>
      <c r="Z7" s="17" t="s">
        <v>651</v>
      </c>
      <c r="AA7" s="17" t="s">
        <v>654</v>
      </c>
      <c r="AB7" s="13" t="str">
        <f t="shared" si="12"/>
        <v>B</v>
      </c>
      <c r="AC7" s="17" t="s">
        <v>655</v>
      </c>
      <c r="AD7" s="17" t="s">
        <v>656</v>
      </c>
      <c r="AE7" s="17">
        <v>9.0</v>
      </c>
      <c r="AF7" s="13" t="s">
        <v>657</v>
      </c>
      <c r="AG7" s="13" t="str">
        <f t="shared" si="13"/>
        <v>Зрение</v>
      </c>
    </row>
    <row r="8">
      <c r="A8" s="12" t="str">
        <f t="shared" si="1"/>
        <v>007</v>
      </c>
      <c r="B8" s="17" t="s">
        <v>658</v>
      </c>
      <c r="C8" s="13">
        <v>39.0</v>
      </c>
      <c r="D8" s="17" t="s">
        <v>666</v>
      </c>
      <c r="E8" s="17" t="s">
        <v>646</v>
      </c>
      <c r="F8" s="18" t="s">
        <v>646</v>
      </c>
      <c r="G8" s="15" t="str">
        <f t="shared" si="2"/>
        <v>Beginner</v>
      </c>
      <c r="H8" s="16" t="str">
        <f t="shared" si="3"/>
        <v>Восточный Казахстан</v>
      </c>
      <c r="I8" s="17" t="s">
        <v>673</v>
      </c>
      <c r="J8" s="13" t="str">
        <f t="shared" si="4"/>
        <v>Гражданин РК</v>
      </c>
      <c r="K8" s="17" t="s">
        <v>648</v>
      </c>
      <c r="L8" s="13">
        <f t="shared" si="5"/>
        <v>2</v>
      </c>
      <c r="M8" s="13" t="str">
        <f t="shared" si="6"/>
        <v>безработный</v>
      </c>
      <c r="N8" s="13" t="str">
        <f t="shared" si="7"/>
        <v>покупка авто</v>
      </c>
      <c r="O8" s="13" t="str">
        <f t="shared" si="8"/>
        <v>Нет</v>
      </c>
      <c r="P8" s="17" t="s">
        <v>649</v>
      </c>
      <c r="Q8" s="13" t="str">
        <f t="shared" si="9"/>
        <v>IT</v>
      </c>
      <c r="R8" s="13" t="str">
        <f t="shared" si="10"/>
        <v>Услуги</v>
      </c>
      <c r="S8" s="17" t="s">
        <v>674</v>
      </c>
      <c r="T8" s="17" t="str">
        <f t="shared" si="11"/>
        <v>С родителями</v>
      </c>
      <c r="U8" s="17" t="s">
        <v>661</v>
      </c>
      <c r="V8" s="17" t="s">
        <v>675</v>
      </c>
      <c r="W8" s="17" t="s">
        <v>663</v>
      </c>
      <c r="X8" s="17">
        <v>2500.0</v>
      </c>
      <c r="Y8" s="17" t="s">
        <v>651</v>
      </c>
      <c r="Z8" s="17" t="s">
        <v>661</v>
      </c>
      <c r="AA8" s="17" t="s">
        <v>654</v>
      </c>
      <c r="AB8" s="13" t="str">
        <f t="shared" si="12"/>
        <v>B</v>
      </c>
      <c r="AC8" s="17" t="s">
        <v>655</v>
      </c>
      <c r="AD8" s="17" t="s">
        <v>661</v>
      </c>
      <c r="AE8" s="17">
        <v>10.0</v>
      </c>
      <c r="AF8" s="17" t="s">
        <v>665</v>
      </c>
      <c r="AG8" s="13" t="str">
        <f t="shared" si="13"/>
        <v>Без ограничений</v>
      </c>
    </row>
    <row r="9">
      <c r="A9" s="12" t="str">
        <f t="shared" si="1"/>
        <v>008</v>
      </c>
      <c r="B9" s="17" t="s">
        <v>658</v>
      </c>
      <c r="C9" s="13">
        <v>49.0</v>
      </c>
      <c r="D9" s="17" t="s">
        <v>666</v>
      </c>
      <c r="E9" s="17" t="s">
        <v>646</v>
      </c>
      <c r="F9" s="18" t="s">
        <v>645</v>
      </c>
      <c r="G9" s="15" t="str">
        <f t="shared" si="2"/>
        <v>Advanced</v>
      </c>
      <c r="H9" s="16" t="str">
        <f t="shared" si="3"/>
        <v>Центральный Казахстан</v>
      </c>
      <c r="I9" s="17" t="s">
        <v>647</v>
      </c>
      <c r="J9" s="13" t="str">
        <f t="shared" si="4"/>
        <v>Гражданин РК</v>
      </c>
      <c r="K9" s="17" t="s">
        <v>668</v>
      </c>
      <c r="L9" s="13">
        <f t="shared" si="5"/>
        <v>0</v>
      </c>
      <c r="M9" s="13" t="str">
        <f t="shared" si="6"/>
        <v>самозанятый</v>
      </c>
      <c r="N9" s="13" t="str">
        <f t="shared" si="7"/>
        <v>поиск новой работы</v>
      </c>
      <c r="O9" s="13" t="str">
        <f t="shared" si="8"/>
        <v>Только за счет компании</v>
      </c>
      <c r="P9" s="17" t="s">
        <v>649</v>
      </c>
      <c r="Q9" s="13" t="str">
        <f t="shared" si="9"/>
        <v>Педагогика</v>
      </c>
      <c r="R9" s="13" t="str">
        <f t="shared" si="10"/>
        <v>Образование</v>
      </c>
      <c r="S9" s="17" t="s">
        <v>650</v>
      </c>
      <c r="T9" s="17" t="str">
        <f t="shared" si="11"/>
        <v>С родителями</v>
      </c>
      <c r="U9" s="17" t="s">
        <v>651</v>
      </c>
      <c r="V9" s="17" t="s">
        <v>662</v>
      </c>
      <c r="W9" s="17" t="s">
        <v>680</v>
      </c>
      <c r="X9" s="17">
        <v>1000.0</v>
      </c>
      <c r="Y9" s="17" t="s">
        <v>651</v>
      </c>
      <c r="Z9" s="17" t="s">
        <v>651</v>
      </c>
      <c r="AA9" s="17" t="s">
        <v>654</v>
      </c>
      <c r="AB9" s="13" t="str">
        <f t="shared" si="12"/>
        <v>Нет</v>
      </c>
      <c r="AC9" s="17" t="s">
        <v>661</v>
      </c>
      <c r="AD9" s="17" t="s">
        <v>677</v>
      </c>
      <c r="AE9" s="17">
        <v>6.0</v>
      </c>
      <c r="AF9" s="17" t="s">
        <v>672</v>
      </c>
      <c r="AG9" s="13" t="str">
        <f t="shared" si="13"/>
        <v>Без ограничений</v>
      </c>
    </row>
    <row r="10">
      <c r="A10" s="12" t="str">
        <f t="shared" si="1"/>
        <v>009</v>
      </c>
      <c r="B10" s="17" t="s">
        <v>658</v>
      </c>
      <c r="C10" s="13">
        <v>48.0</v>
      </c>
      <c r="D10" s="17" t="s">
        <v>666</v>
      </c>
      <c r="E10" s="17" t="s">
        <v>646</v>
      </c>
      <c r="F10" s="18" t="s">
        <v>659</v>
      </c>
      <c r="G10" s="15" t="str">
        <f t="shared" si="2"/>
        <v>Beginner</v>
      </c>
      <c r="H10" s="16" t="str">
        <f t="shared" si="3"/>
        <v>Восточный Казахстан</v>
      </c>
      <c r="I10" s="17" t="s">
        <v>667</v>
      </c>
      <c r="J10" s="13" t="str">
        <f t="shared" si="4"/>
        <v>Таджикистан</v>
      </c>
      <c r="K10" s="17" t="s">
        <v>648</v>
      </c>
      <c r="L10" s="13">
        <f t="shared" si="5"/>
        <v>3</v>
      </c>
      <c r="M10" s="13" t="str">
        <f t="shared" si="6"/>
        <v>наемный работник</v>
      </c>
      <c r="N10" s="13" t="str">
        <f t="shared" si="7"/>
        <v>отпуск за границей</v>
      </c>
      <c r="O10" s="13" t="str">
        <f t="shared" si="8"/>
        <v>Нет</v>
      </c>
      <c r="P10" s="17" t="s">
        <v>649</v>
      </c>
      <c r="Q10" s="13" t="str">
        <f t="shared" si="9"/>
        <v>Педагогика</v>
      </c>
      <c r="R10" s="13" t="str">
        <f t="shared" si="10"/>
        <v>Образование</v>
      </c>
      <c r="S10" s="17" t="s">
        <v>661</v>
      </c>
      <c r="T10" s="17" t="str">
        <f t="shared" si="11"/>
        <v>Собственное</v>
      </c>
      <c r="U10" s="17" t="s">
        <v>661</v>
      </c>
      <c r="V10" s="17" t="s">
        <v>652</v>
      </c>
      <c r="W10" s="17" t="s">
        <v>680</v>
      </c>
      <c r="X10" s="17">
        <v>1000.0</v>
      </c>
      <c r="Y10" s="17" t="s">
        <v>651</v>
      </c>
      <c r="Z10" s="17" t="s">
        <v>661</v>
      </c>
      <c r="AA10" s="17" t="s">
        <v>654</v>
      </c>
      <c r="AB10" s="13" t="str">
        <f t="shared" si="12"/>
        <v>C</v>
      </c>
      <c r="AC10" s="17" t="s">
        <v>661</v>
      </c>
      <c r="AD10" s="17" t="s">
        <v>677</v>
      </c>
      <c r="AE10" s="17">
        <v>8.0</v>
      </c>
      <c r="AF10" s="17" t="s">
        <v>665</v>
      </c>
      <c r="AG10" s="13" t="str">
        <f t="shared" si="13"/>
        <v>Аллергия</v>
      </c>
    </row>
    <row r="11">
      <c r="A11" s="12" t="str">
        <f t="shared" si="1"/>
        <v>010</v>
      </c>
      <c r="B11" s="17" t="s">
        <v>658</v>
      </c>
      <c r="C11" s="13">
        <v>38.0</v>
      </c>
      <c r="D11" s="17" t="s">
        <v>666</v>
      </c>
      <c r="E11" s="17" t="s">
        <v>646</v>
      </c>
      <c r="F11" s="18" t="s">
        <v>646</v>
      </c>
      <c r="G11" s="15" t="str">
        <f t="shared" si="2"/>
        <v>Advanced</v>
      </c>
      <c r="H11" s="16" t="str">
        <f t="shared" si="3"/>
        <v>Центральный Казахстан</v>
      </c>
      <c r="I11" s="17" t="s">
        <v>667</v>
      </c>
      <c r="J11" s="13" t="str">
        <f t="shared" si="4"/>
        <v>Гражданин РК</v>
      </c>
      <c r="K11" s="17" t="s">
        <v>668</v>
      </c>
      <c r="L11" s="13">
        <f t="shared" si="5"/>
        <v>0</v>
      </c>
      <c r="M11" s="13" t="str">
        <f t="shared" si="6"/>
        <v>безработный</v>
      </c>
      <c r="N11" s="13" t="str">
        <f t="shared" si="7"/>
        <v>покупка авто</v>
      </c>
      <c r="O11" s="13" t="str">
        <f t="shared" si="8"/>
        <v>Нет</v>
      </c>
      <c r="P11" s="17" t="s">
        <v>649</v>
      </c>
      <c r="Q11" s="13" t="str">
        <f t="shared" si="9"/>
        <v>Юриспруденция</v>
      </c>
      <c r="R11" s="13" t="str">
        <f t="shared" si="10"/>
        <v>Услуги</v>
      </c>
      <c r="S11" s="17" t="s">
        <v>661</v>
      </c>
      <c r="T11" s="17" t="str">
        <f t="shared" si="11"/>
        <v>С родителями</v>
      </c>
      <c r="U11" s="17" t="s">
        <v>651</v>
      </c>
      <c r="V11" s="17" t="s">
        <v>652</v>
      </c>
      <c r="W11" s="17" t="s">
        <v>663</v>
      </c>
      <c r="X11" s="17">
        <v>2500.0</v>
      </c>
      <c r="Y11" s="17" t="s">
        <v>651</v>
      </c>
      <c r="Z11" s="17" t="s">
        <v>661</v>
      </c>
      <c r="AA11" s="17" t="s">
        <v>676</v>
      </c>
      <c r="AB11" s="13" t="str">
        <f t="shared" si="12"/>
        <v>B</v>
      </c>
      <c r="AC11" s="17" t="s">
        <v>655</v>
      </c>
      <c r="AD11" s="17" t="s">
        <v>677</v>
      </c>
      <c r="AE11" s="17">
        <v>10.0</v>
      </c>
      <c r="AF11" s="17" t="s">
        <v>679</v>
      </c>
      <c r="AG11" s="13" t="str">
        <f t="shared" si="13"/>
        <v>Без ограничений</v>
      </c>
    </row>
    <row r="12">
      <c r="A12" s="12" t="str">
        <f t="shared" si="1"/>
        <v>011</v>
      </c>
      <c r="B12" s="17" t="s">
        <v>643</v>
      </c>
      <c r="C12" s="13">
        <v>40.0</v>
      </c>
      <c r="D12" s="17" t="s">
        <v>644</v>
      </c>
      <c r="E12" s="17" t="s">
        <v>645</v>
      </c>
      <c r="F12" s="18" t="s">
        <v>659</v>
      </c>
      <c r="G12" s="15" t="str">
        <f t="shared" si="2"/>
        <v>Beginner</v>
      </c>
      <c r="H12" s="16" t="str">
        <f t="shared" si="3"/>
        <v>Центральный Казахстан</v>
      </c>
      <c r="I12" s="17" t="s">
        <v>667</v>
      </c>
      <c r="J12" s="13" t="str">
        <f t="shared" si="4"/>
        <v>Гражданин РК</v>
      </c>
      <c r="K12" s="17" t="s">
        <v>668</v>
      </c>
      <c r="L12" s="13">
        <f t="shared" si="5"/>
        <v>0</v>
      </c>
      <c r="M12" s="13" t="str">
        <f t="shared" si="6"/>
        <v>безработный</v>
      </c>
      <c r="N12" s="13" t="str">
        <f t="shared" si="7"/>
        <v>кредит</v>
      </c>
      <c r="O12" s="13" t="str">
        <f t="shared" si="8"/>
        <v>Да</v>
      </c>
      <c r="P12" s="17" t="s">
        <v>678</v>
      </c>
      <c r="Q12" s="13" t="str">
        <f t="shared" si="9"/>
        <v>Медицина</v>
      </c>
      <c r="R12" s="13" t="str">
        <f t="shared" si="10"/>
        <v>Здравоохранение</v>
      </c>
      <c r="S12" s="17" t="s">
        <v>674</v>
      </c>
      <c r="T12" s="17" t="str">
        <f t="shared" si="11"/>
        <v>С родителями</v>
      </c>
      <c r="U12" s="17" t="s">
        <v>651</v>
      </c>
      <c r="V12" s="17" t="s">
        <v>652</v>
      </c>
      <c r="W12" s="17" t="s">
        <v>670</v>
      </c>
      <c r="X12" s="17">
        <v>1500.0</v>
      </c>
      <c r="Y12" s="17" t="s">
        <v>651</v>
      </c>
      <c r="Z12" s="17" t="s">
        <v>651</v>
      </c>
      <c r="AA12" s="17" t="s">
        <v>654</v>
      </c>
      <c r="AB12" s="13" t="str">
        <f t="shared" si="12"/>
        <v>D</v>
      </c>
      <c r="AC12" s="17" t="s">
        <v>661</v>
      </c>
      <c r="AD12" s="17" t="s">
        <v>677</v>
      </c>
      <c r="AE12" s="17">
        <v>5.0</v>
      </c>
      <c r="AF12" s="13" t="s">
        <v>657</v>
      </c>
      <c r="AG12" s="13" t="str">
        <f t="shared" si="13"/>
        <v>Без ограничений</v>
      </c>
    </row>
    <row r="13">
      <c r="A13" s="12" t="str">
        <f t="shared" si="1"/>
        <v>012</v>
      </c>
      <c r="B13" s="17" t="s">
        <v>658</v>
      </c>
      <c r="C13" s="13">
        <v>49.0</v>
      </c>
      <c r="D13" s="17" t="s">
        <v>666</v>
      </c>
      <c r="E13" s="17" t="s">
        <v>645</v>
      </c>
      <c r="F13" s="18" t="s">
        <v>659</v>
      </c>
      <c r="G13" s="15" t="str">
        <f t="shared" si="2"/>
        <v>No</v>
      </c>
      <c r="H13" s="16" t="str">
        <f t="shared" si="3"/>
        <v>Восточный Казахстан</v>
      </c>
      <c r="I13" s="17" t="s">
        <v>647</v>
      </c>
      <c r="J13" s="13" t="str">
        <f t="shared" si="4"/>
        <v>Гражданин РК</v>
      </c>
      <c r="K13" s="17" t="s">
        <v>648</v>
      </c>
      <c r="L13" s="13">
        <f t="shared" si="5"/>
        <v>1</v>
      </c>
      <c r="M13" s="13" t="str">
        <f t="shared" si="6"/>
        <v>безработный</v>
      </c>
      <c r="N13" s="13" t="str">
        <f t="shared" si="7"/>
        <v>отпуск за границей</v>
      </c>
      <c r="O13" s="13" t="str">
        <f t="shared" si="8"/>
        <v>Да</v>
      </c>
      <c r="P13" s="17" t="s">
        <v>649</v>
      </c>
      <c r="Q13" s="13" t="str">
        <f t="shared" si="9"/>
        <v>Сервис</v>
      </c>
      <c r="R13" s="13" t="str">
        <f t="shared" si="10"/>
        <v>Услуги</v>
      </c>
      <c r="S13" s="17" t="s">
        <v>650</v>
      </c>
      <c r="T13" s="17" t="str">
        <f t="shared" si="11"/>
        <v>Собственное</v>
      </c>
      <c r="U13" s="17" t="s">
        <v>651</v>
      </c>
      <c r="V13" s="17" t="s">
        <v>652</v>
      </c>
      <c r="W13" s="17" t="s">
        <v>680</v>
      </c>
      <c r="X13" s="17">
        <v>2500.0</v>
      </c>
      <c r="Y13" s="17" t="s">
        <v>651</v>
      </c>
      <c r="Z13" s="17" t="s">
        <v>651</v>
      </c>
      <c r="AA13" s="17" t="s">
        <v>664</v>
      </c>
      <c r="AB13" s="13" t="str">
        <f t="shared" si="12"/>
        <v>B</v>
      </c>
      <c r="AC13" s="17" t="s">
        <v>655</v>
      </c>
      <c r="AD13" s="17" t="s">
        <v>661</v>
      </c>
      <c r="AE13" s="17">
        <v>8.0</v>
      </c>
      <c r="AF13" s="17" t="s">
        <v>665</v>
      </c>
      <c r="AG13" s="13" t="str">
        <f t="shared" si="13"/>
        <v>Зрение</v>
      </c>
    </row>
    <row r="14">
      <c r="A14" s="12" t="str">
        <f t="shared" si="1"/>
        <v>013</v>
      </c>
      <c r="B14" s="17" t="s">
        <v>658</v>
      </c>
      <c r="C14" s="13">
        <v>50.0</v>
      </c>
      <c r="D14" s="17" t="s">
        <v>644</v>
      </c>
      <c r="E14" s="17" t="s">
        <v>645</v>
      </c>
      <c r="F14" s="18" t="s">
        <v>646</v>
      </c>
      <c r="G14" s="15" t="str">
        <f t="shared" si="2"/>
        <v>No</v>
      </c>
      <c r="H14" s="16" t="str">
        <f t="shared" si="3"/>
        <v>Северный Казахстан</v>
      </c>
      <c r="I14" s="17" t="s">
        <v>673</v>
      </c>
      <c r="J14" s="13" t="str">
        <f t="shared" si="4"/>
        <v>Гражданин РК</v>
      </c>
      <c r="K14" s="17" t="s">
        <v>681</v>
      </c>
      <c r="L14" s="13">
        <f t="shared" si="5"/>
        <v>1</v>
      </c>
      <c r="M14" s="13" t="str">
        <f t="shared" si="6"/>
        <v>наемный работник</v>
      </c>
      <c r="N14" s="13" t="str">
        <f t="shared" si="7"/>
        <v>повышение квалификации</v>
      </c>
      <c r="O14" s="13" t="str">
        <f t="shared" si="8"/>
        <v>Нет</v>
      </c>
      <c r="P14" s="17" t="s">
        <v>678</v>
      </c>
      <c r="Q14" s="13" t="str">
        <f t="shared" si="9"/>
        <v>Логистика</v>
      </c>
      <c r="R14" s="13" t="str">
        <f t="shared" si="10"/>
        <v>Транспорт</v>
      </c>
      <c r="S14" s="17" t="s">
        <v>661</v>
      </c>
      <c r="T14" s="17" t="str">
        <f t="shared" si="11"/>
        <v>Аренда</v>
      </c>
      <c r="U14" s="17" t="s">
        <v>661</v>
      </c>
      <c r="V14" s="17" t="s">
        <v>652</v>
      </c>
      <c r="W14" s="17" t="s">
        <v>682</v>
      </c>
      <c r="X14" s="17">
        <v>1500.0</v>
      </c>
      <c r="Y14" s="17" t="s">
        <v>651</v>
      </c>
      <c r="Z14" s="17" t="s">
        <v>651</v>
      </c>
      <c r="AA14" s="17" t="s">
        <v>676</v>
      </c>
      <c r="AB14" s="13" t="str">
        <f t="shared" si="12"/>
        <v>B</v>
      </c>
      <c r="AC14" s="17" t="s">
        <v>655</v>
      </c>
      <c r="AD14" s="17" t="s">
        <v>677</v>
      </c>
      <c r="AE14" s="17">
        <v>8.0</v>
      </c>
      <c r="AF14" s="17" t="s">
        <v>672</v>
      </c>
      <c r="AG14" s="13" t="str">
        <f t="shared" si="13"/>
        <v>Слух</v>
      </c>
    </row>
    <row r="15">
      <c r="A15" s="12" t="str">
        <f t="shared" si="1"/>
        <v>014</v>
      </c>
      <c r="B15" s="17" t="s">
        <v>658</v>
      </c>
      <c r="C15" s="13">
        <v>35.0</v>
      </c>
      <c r="D15" s="17" t="s">
        <v>666</v>
      </c>
      <c r="E15" s="17" t="s">
        <v>645</v>
      </c>
      <c r="F15" s="18" t="s">
        <v>645</v>
      </c>
      <c r="G15" s="15" t="str">
        <f t="shared" si="2"/>
        <v>Advanced</v>
      </c>
      <c r="H15" s="16" t="str">
        <f t="shared" si="3"/>
        <v>Восточный Казахстан</v>
      </c>
      <c r="I15" s="17" t="s">
        <v>667</v>
      </c>
      <c r="J15" s="13" t="str">
        <f t="shared" si="4"/>
        <v>Гражданин РК</v>
      </c>
      <c r="K15" s="17" t="s">
        <v>648</v>
      </c>
      <c r="L15" s="13">
        <f t="shared" si="5"/>
        <v>3</v>
      </c>
      <c r="M15" s="13" t="str">
        <f t="shared" si="6"/>
        <v>безработный</v>
      </c>
      <c r="N15" s="13" t="str">
        <f t="shared" si="7"/>
        <v>кредит</v>
      </c>
      <c r="O15" s="13" t="str">
        <f t="shared" si="8"/>
        <v>Нет</v>
      </c>
      <c r="P15" s="17" t="s">
        <v>649</v>
      </c>
      <c r="Q15" s="13" t="str">
        <f t="shared" si="9"/>
        <v>Медицина</v>
      </c>
      <c r="R15" s="13" t="str">
        <f t="shared" si="10"/>
        <v>Здравоохранение</v>
      </c>
      <c r="S15" s="17" t="s">
        <v>674</v>
      </c>
      <c r="T15" s="17" t="str">
        <f t="shared" si="11"/>
        <v>Аренда</v>
      </c>
      <c r="U15" s="17" t="s">
        <v>651</v>
      </c>
      <c r="V15" s="17" t="s">
        <v>675</v>
      </c>
      <c r="W15" s="17" t="s">
        <v>663</v>
      </c>
      <c r="X15" s="17">
        <v>800.0</v>
      </c>
      <c r="Y15" s="17" t="s">
        <v>651</v>
      </c>
      <c r="Z15" s="17" t="s">
        <v>661</v>
      </c>
      <c r="AA15" s="17" t="s">
        <v>676</v>
      </c>
      <c r="AB15" s="13" t="str">
        <f t="shared" si="12"/>
        <v>B</v>
      </c>
      <c r="AC15" s="17" t="s">
        <v>661</v>
      </c>
      <c r="AD15" s="17" t="s">
        <v>677</v>
      </c>
      <c r="AE15" s="17">
        <v>9.0</v>
      </c>
      <c r="AF15" s="17" t="s">
        <v>665</v>
      </c>
      <c r="AG15" s="13" t="str">
        <f t="shared" si="13"/>
        <v>Без ограничений</v>
      </c>
    </row>
    <row r="16">
      <c r="A16" s="12" t="str">
        <f t="shared" si="1"/>
        <v>015</v>
      </c>
      <c r="B16" s="17" t="s">
        <v>658</v>
      </c>
      <c r="C16" s="13">
        <v>37.0</v>
      </c>
      <c r="D16" s="17" t="s">
        <v>644</v>
      </c>
      <c r="E16" s="17" t="s">
        <v>645</v>
      </c>
      <c r="F16" s="18" t="s">
        <v>645</v>
      </c>
      <c r="G16" s="15" t="str">
        <f t="shared" si="2"/>
        <v>Intermediate</v>
      </c>
      <c r="H16" s="16" t="str">
        <f t="shared" si="3"/>
        <v>Восточный Казахстан</v>
      </c>
      <c r="I16" s="17" t="s">
        <v>647</v>
      </c>
      <c r="J16" s="13" t="str">
        <f t="shared" si="4"/>
        <v>Гражданин РК</v>
      </c>
      <c r="K16" s="17" t="s">
        <v>681</v>
      </c>
      <c r="L16" s="13">
        <f t="shared" si="5"/>
        <v>0</v>
      </c>
      <c r="M16" s="13" t="str">
        <f t="shared" si="6"/>
        <v>наемный работник</v>
      </c>
      <c r="N16" s="13" t="str">
        <f t="shared" si="7"/>
        <v>переезд</v>
      </c>
      <c r="O16" s="13" t="str">
        <f t="shared" si="8"/>
        <v>Да</v>
      </c>
      <c r="P16" s="17" t="s">
        <v>649</v>
      </c>
      <c r="Q16" s="13" t="str">
        <f t="shared" si="9"/>
        <v>Сервис</v>
      </c>
      <c r="R16" s="13" t="str">
        <f t="shared" si="10"/>
        <v>Услуги</v>
      </c>
      <c r="S16" s="17" t="s">
        <v>650</v>
      </c>
      <c r="T16" s="17" t="str">
        <f t="shared" si="11"/>
        <v>Аренда</v>
      </c>
      <c r="U16" s="17" t="s">
        <v>651</v>
      </c>
      <c r="V16" s="17" t="s">
        <v>675</v>
      </c>
      <c r="W16" s="17" t="s">
        <v>663</v>
      </c>
      <c r="X16" s="17">
        <v>1000.0</v>
      </c>
      <c r="Y16" s="17" t="s">
        <v>651</v>
      </c>
      <c r="Z16" s="17" t="s">
        <v>661</v>
      </c>
      <c r="AA16" s="17" t="s">
        <v>664</v>
      </c>
      <c r="AB16" s="13" t="str">
        <f t="shared" si="12"/>
        <v>B</v>
      </c>
      <c r="AC16" s="17" t="s">
        <v>655</v>
      </c>
      <c r="AD16" s="17" t="s">
        <v>671</v>
      </c>
      <c r="AE16" s="17">
        <v>10.0</v>
      </c>
      <c r="AF16" s="17" t="s">
        <v>679</v>
      </c>
      <c r="AG16" s="13" t="str">
        <f t="shared" si="13"/>
        <v>Без ограничений</v>
      </c>
    </row>
    <row r="17">
      <c r="A17" s="12" t="str">
        <f t="shared" si="1"/>
        <v>016</v>
      </c>
      <c r="B17" s="17" t="s">
        <v>658</v>
      </c>
      <c r="C17" s="13">
        <v>35.0</v>
      </c>
      <c r="D17" s="17" t="s">
        <v>644</v>
      </c>
      <c r="E17" s="17" t="s">
        <v>645</v>
      </c>
      <c r="F17" s="18" t="s">
        <v>646</v>
      </c>
      <c r="G17" s="15" t="str">
        <f t="shared" si="2"/>
        <v>Advanced</v>
      </c>
      <c r="H17" s="16" t="str">
        <f t="shared" si="3"/>
        <v>Северный Казахстан</v>
      </c>
      <c r="I17" s="17" t="s">
        <v>667</v>
      </c>
      <c r="J17" s="13" t="str">
        <f t="shared" si="4"/>
        <v>Гражданин РК</v>
      </c>
      <c r="K17" s="17" t="s">
        <v>648</v>
      </c>
      <c r="L17" s="13">
        <f t="shared" si="5"/>
        <v>3</v>
      </c>
      <c r="M17" s="13" t="str">
        <f t="shared" si="6"/>
        <v>наемный работник</v>
      </c>
      <c r="N17" s="13" t="str">
        <f t="shared" si="7"/>
        <v>поиск новой работы</v>
      </c>
      <c r="O17" s="13" t="str">
        <f t="shared" si="8"/>
        <v>Нет</v>
      </c>
      <c r="P17" s="17" t="s">
        <v>660</v>
      </c>
      <c r="Q17" s="13" t="str">
        <f t="shared" si="9"/>
        <v>Дизайн</v>
      </c>
      <c r="R17" s="13" t="str">
        <f t="shared" si="10"/>
        <v>Услуги</v>
      </c>
      <c r="S17" s="17" t="s">
        <v>650</v>
      </c>
      <c r="T17" s="17" t="str">
        <f t="shared" si="11"/>
        <v>Собственное</v>
      </c>
      <c r="U17" s="17" t="s">
        <v>651</v>
      </c>
      <c r="V17" s="17" t="s">
        <v>652</v>
      </c>
      <c r="W17" s="17" t="s">
        <v>682</v>
      </c>
      <c r="X17" s="17">
        <v>4000.0</v>
      </c>
      <c r="Y17" s="17" t="s">
        <v>651</v>
      </c>
      <c r="Z17" s="17" t="s">
        <v>651</v>
      </c>
      <c r="AA17" s="17" t="s">
        <v>676</v>
      </c>
      <c r="AB17" s="13" t="str">
        <f t="shared" si="12"/>
        <v>C</v>
      </c>
      <c r="AC17" s="17" t="s">
        <v>661</v>
      </c>
      <c r="AD17" s="17" t="s">
        <v>671</v>
      </c>
      <c r="AE17" s="17">
        <v>6.0</v>
      </c>
      <c r="AF17" s="17" t="s">
        <v>683</v>
      </c>
      <c r="AG17" s="13" t="str">
        <f t="shared" si="13"/>
        <v>Без ограничений</v>
      </c>
    </row>
    <row r="18">
      <c r="A18" s="12" t="str">
        <f t="shared" si="1"/>
        <v>017</v>
      </c>
      <c r="B18" s="17" t="s">
        <v>658</v>
      </c>
      <c r="C18" s="13">
        <v>33.0</v>
      </c>
      <c r="D18" s="17" t="s">
        <v>666</v>
      </c>
      <c r="E18" s="17" t="s">
        <v>645</v>
      </c>
      <c r="F18" s="18" t="s">
        <v>659</v>
      </c>
      <c r="G18" s="15" t="str">
        <f t="shared" si="2"/>
        <v>Intermediate</v>
      </c>
      <c r="H18" s="16" t="str">
        <f t="shared" si="3"/>
        <v>Восточный Казахстан</v>
      </c>
      <c r="I18" s="17" t="s">
        <v>667</v>
      </c>
      <c r="J18" s="13" t="str">
        <f t="shared" si="4"/>
        <v>Китай</v>
      </c>
      <c r="K18" s="17" t="s">
        <v>681</v>
      </c>
      <c r="L18" s="13">
        <f t="shared" si="5"/>
        <v>0</v>
      </c>
      <c r="M18" s="13" t="str">
        <f t="shared" si="6"/>
        <v>наемный работник</v>
      </c>
      <c r="N18" s="13" t="str">
        <f t="shared" si="7"/>
        <v>покупка авто</v>
      </c>
      <c r="O18" s="13" t="str">
        <f t="shared" si="8"/>
        <v>Да</v>
      </c>
      <c r="P18" s="17" t="s">
        <v>678</v>
      </c>
      <c r="Q18" s="13" t="str">
        <f t="shared" si="9"/>
        <v>Юриспруденция</v>
      </c>
      <c r="R18" s="13" t="str">
        <f t="shared" si="10"/>
        <v>Услуги</v>
      </c>
      <c r="S18" s="17" t="s">
        <v>674</v>
      </c>
      <c r="T18" s="17" t="str">
        <f t="shared" si="11"/>
        <v>Аренда</v>
      </c>
      <c r="U18" s="17" t="s">
        <v>661</v>
      </c>
      <c r="V18" s="17" t="s">
        <v>675</v>
      </c>
      <c r="W18" s="17" t="s">
        <v>682</v>
      </c>
      <c r="X18" s="17">
        <v>1000.0</v>
      </c>
      <c r="Y18" s="17" t="s">
        <v>651</v>
      </c>
      <c r="Z18" s="17" t="s">
        <v>661</v>
      </c>
      <c r="AA18" s="17" t="s">
        <v>676</v>
      </c>
      <c r="AB18" s="13" t="str">
        <f t="shared" si="12"/>
        <v>B</v>
      </c>
      <c r="AC18" s="17" t="s">
        <v>655</v>
      </c>
      <c r="AD18" s="17" t="s">
        <v>677</v>
      </c>
      <c r="AE18" s="17">
        <v>5.0</v>
      </c>
      <c r="AF18" s="17" t="s">
        <v>684</v>
      </c>
      <c r="AG18" s="13" t="str">
        <f t="shared" si="13"/>
        <v>Без ограничений</v>
      </c>
    </row>
    <row r="19">
      <c r="A19" s="12" t="str">
        <f t="shared" si="1"/>
        <v>018</v>
      </c>
      <c r="B19" s="17" t="s">
        <v>643</v>
      </c>
      <c r="C19" s="13">
        <v>45.0</v>
      </c>
      <c r="D19" s="17" t="s">
        <v>644</v>
      </c>
      <c r="E19" s="17" t="s">
        <v>646</v>
      </c>
      <c r="F19" s="18" t="s">
        <v>645</v>
      </c>
      <c r="G19" s="15" t="str">
        <f t="shared" si="2"/>
        <v>Advanced</v>
      </c>
      <c r="H19" s="16" t="str">
        <f t="shared" si="3"/>
        <v>Восточный Казахстан</v>
      </c>
      <c r="I19" s="17" t="s">
        <v>673</v>
      </c>
      <c r="J19" s="13" t="str">
        <f t="shared" si="4"/>
        <v>Гражданин РК</v>
      </c>
      <c r="K19" s="17" t="s">
        <v>681</v>
      </c>
      <c r="L19" s="13">
        <f t="shared" si="5"/>
        <v>1</v>
      </c>
      <c r="M19" s="13" t="str">
        <f t="shared" si="6"/>
        <v>безработный</v>
      </c>
      <c r="N19" s="13" t="str">
        <f t="shared" si="7"/>
        <v>поиск новой работы</v>
      </c>
      <c r="O19" s="13" t="str">
        <f t="shared" si="8"/>
        <v>Только за счет компании</v>
      </c>
      <c r="P19" s="17" t="s">
        <v>685</v>
      </c>
      <c r="Q19" s="13" t="str">
        <f t="shared" si="9"/>
        <v>Строительство</v>
      </c>
      <c r="R19" s="13" t="str">
        <f t="shared" si="10"/>
        <v>Производство</v>
      </c>
      <c r="S19" s="17" t="s">
        <v>650</v>
      </c>
      <c r="T19" s="17" t="str">
        <f t="shared" si="11"/>
        <v>Аренда</v>
      </c>
      <c r="U19" s="17" t="s">
        <v>661</v>
      </c>
      <c r="V19" s="17" t="s">
        <v>652</v>
      </c>
      <c r="W19" s="17" t="s">
        <v>670</v>
      </c>
      <c r="X19" s="17">
        <v>1500.0</v>
      </c>
      <c r="Y19" s="17" t="s">
        <v>651</v>
      </c>
      <c r="Z19" s="17" t="s">
        <v>651</v>
      </c>
      <c r="AA19" s="17" t="s">
        <v>676</v>
      </c>
      <c r="AB19" s="13" t="str">
        <f t="shared" si="12"/>
        <v>B</v>
      </c>
      <c r="AC19" s="17" t="s">
        <v>655</v>
      </c>
      <c r="AD19" s="17" t="s">
        <v>677</v>
      </c>
      <c r="AE19" s="17">
        <v>5.0</v>
      </c>
      <c r="AF19" s="17" t="s">
        <v>686</v>
      </c>
      <c r="AG19" s="13" t="str">
        <f t="shared" si="13"/>
        <v>Аллергия</v>
      </c>
    </row>
    <row r="20">
      <c r="A20" s="12" t="str">
        <f t="shared" si="1"/>
        <v>019</v>
      </c>
      <c r="B20" s="17" t="s">
        <v>658</v>
      </c>
      <c r="C20" s="13">
        <v>49.0</v>
      </c>
      <c r="D20" s="17" t="s">
        <v>644</v>
      </c>
      <c r="E20" s="17" t="s">
        <v>646</v>
      </c>
      <c r="F20" s="18" t="s">
        <v>646</v>
      </c>
      <c r="G20" s="15" t="str">
        <f t="shared" si="2"/>
        <v>Beginner</v>
      </c>
      <c r="H20" s="16" t="str">
        <f t="shared" si="3"/>
        <v>Северный Казахстан</v>
      </c>
      <c r="I20" s="17" t="s">
        <v>647</v>
      </c>
      <c r="J20" s="13" t="str">
        <f t="shared" si="4"/>
        <v>Гражданин РК</v>
      </c>
      <c r="K20" s="17" t="s">
        <v>648</v>
      </c>
      <c r="L20" s="13">
        <f t="shared" si="5"/>
        <v>3</v>
      </c>
      <c r="M20" s="13" t="str">
        <f t="shared" si="6"/>
        <v>наемный работник</v>
      </c>
      <c r="N20" s="13" t="str">
        <f t="shared" si="7"/>
        <v>повышение квалификации</v>
      </c>
      <c r="O20" s="13" t="str">
        <f t="shared" si="8"/>
        <v>Да</v>
      </c>
      <c r="P20" s="17" t="s">
        <v>685</v>
      </c>
      <c r="Q20" s="13" t="str">
        <f t="shared" si="9"/>
        <v>Педагогика</v>
      </c>
      <c r="R20" s="13" t="str">
        <f t="shared" si="10"/>
        <v>Образование</v>
      </c>
      <c r="S20" s="17" t="s">
        <v>661</v>
      </c>
      <c r="T20" s="17" t="str">
        <f t="shared" si="11"/>
        <v>Аренда</v>
      </c>
      <c r="U20" s="17" t="s">
        <v>661</v>
      </c>
      <c r="V20" s="17" t="s">
        <v>652</v>
      </c>
      <c r="W20" s="17" t="s">
        <v>653</v>
      </c>
      <c r="X20" s="17">
        <v>1500.0</v>
      </c>
      <c r="Y20" s="17" t="s">
        <v>651</v>
      </c>
      <c r="Z20" s="17" t="s">
        <v>661</v>
      </c>
      <c r="AA20" s="17" t="s">
        <v>664</v>
      </c>
      <c r="AB20" s="13" t="str">
        <f t="shared" si="12"/>
        <v>D</v>
      </c>
      <c r="AC20" s="17" t="s">
        <v>661</v>
      </c>
      <c r="AD20" s="17" t="s">
        <v>656</v>
      </c>
      <c r="AE20" s="17">
        <v>9.0</v>
      </c>
      <c r="AF20" s="17" t="s">
        <v>686</v>
      </c>
      <c r="AG20" s="13" t="str">
        <f t="shared" si="13"/>
        <v>Без ограничений</v>
      </c>
    </row>
    <row r="21">
      <c r="A21" s="12" t="str">
        <f t="shared" si="1"/>
        <v>020</v>
      </c>
      <c r="B21" s="17" t="s">
        <v>643</v>
      </c>
      <c r="C21" s="13">
        <v>40.0</v>
      </c>
      <c r="D21" s="17" t="s">
        <v>666</v>
      </c>
      <c r="E21" s="17" t="s">
        <v>659</v>
      </c>
      <c r="F21" s="18" t="s">
        <v>645</v>
      </c>
      <c r="G21" s="15" t="str">
        <f t="shared" si="2"/>
        <v>Beginner</v>
      </c>
      <c r="H21" s="16" t="str">
        <f t="shared" si="3"/>
        <v>Центральный Казахстан</v>
      </c>
      <c r="I21" s="17" t="s">
        <v>647</v>
      </c>
      <c r="J21" s="13" t="str">
        <f t="shared" si="4"/>
        <v>Гражданин РК</v>
      </c>
      <c r="K21" s="17" t="s">
        <v>681</v>
      </c>
      <c r="L21" s="13">
        <f t="shared" si="5"/>
        <v>1</v>
      </c>
      <c r="M21" s="13" t="str">
        <f t="shared" si="6"/>
        <v>наемный работник</v>
      </c>
      <c r="N21" s="13" t="str">
        <f t="shared" si="7"/>
        <v>поиск новой работы</v>
      </c>
      <c r="O21" s="13" t="str">
        <f t="shared" si="8"/>
        <v>Да</v>
      </c>
      <c r="P21" s="17" t="s">
        <v>649</v>
      </c>
      <c r="Q21" s="13" t="str">
        <f t="shared" si="9"/>
        <v>Медицина</v>
      </c>
      <c r="R21" s="13" t="str">
        <f t="shared" si="10"/>
        <v>Здравоохранение</v>
      </c>
      <c r="S21" s="17" t="s">
        <v>661</v>
      </c>
      <c r="T21" s="17" t="str">
        <f t="shared" si="11"/>
        <v>С родителями</v>
      </c>
      <c r="U21" s="17" t="s">
        <v>661</v>
      </c>
      <c r="V21" s="17" t="s">
        <v>675</v>
      </c>
      <c r="W21" s="17" t="s">
        <v>663</v>
      </c>
      <c r="X21" s="17">
        <v>4000.0</v>
      </c>
      <c r="Y21" s="17" t="s">
        <v>651</v>
      </c>
      <c r="Z21" s="17" t="s">
        <v>661</v>
      </c>
      <c r="AA21" s="17" t="s">
        <v>676</v>
      </c>
      <c r="AB21" s="13" t="str">
        <f t="shared" si="12"/>
        <v>B, C</v>
      </c>
      <c r="AC21" s="17" t="s">
        <v>655</v>
      </c>
      <c r="AD21" s="17" t="s">
        <v>661</v>
      </c>
      <c r="AE21" s="17">
        <v>7.0</v>
      </c>
      <c r="AF21" s="17" t="s">
        <v>683</v>
      </c>
      <c r="AG21" s="13" t="str">
        <f t="shared" si="13"/>
        <v>Аллергия</v>
      </c>
    </row>
    <row r="22">
      <c r="A22" s="12" t="str">
        <f t="shared" si="1"/>
        <v>021</v>
      </c>
      <c r="B22" s="17" t="s">
        <v>658</v>
      </c>
      <c r="C22" s="13">
        <v>42.0</v>
      </c>
      <c r="D22" s="17" t="s">
        <v>666</v>
      </c>
      <c r="E22" s="17" t="s">
        <v>646</v>
      </c>
      <c r="F22" s="18" t="s">
        <v>646</v>
      </c>
      <c r="G22" s="15" t="str">
        <f t="shared" si="2"/>
        <v>Advanced</v>
      </c>
      <c r="H22" s="16" t="str">
        <f t="shared" si="3"/>
        <v>Южный Казахстан</v>
      </c>
      <c r="I22" s="17" t="s">
        <v>647</v>
      </c>
      <c r="J22" s="13" t="str">
        <f t="shared" si="4"/>
        <v>Гражданин РК</v>
      </c>
      <c r="K22" s="17" t="s">
        <v>648</v>
      </c>
      <c r="L22" s="13">
        <f t="shared" si="5"/>
        <v>2</v>
      </c>
      <c r="M22" s="13" t="str">
        <f t="shared" si="6"/>
        <v>безработный</v>
      </c>
      <c r="N22" s="13" t="str">
        <f t="shared" si="7"/>
        <v>повышение квалификации</v>
      </c>
      <c r="O22" s="13" t="str">
        <f t="shared" si="8"/>
        <v>Нет</v>
      </c>
      <c r="P22" s="17" t="s">
        <v>669</v>
      </c>
      <c r="Q22" s="13" t="str">
        <f t="shared" si="9"/>
        <v>Строительство</v>
      </c>
      <c r="R22" s="13" t="str">
        <f t="shared" si="10"/>
        <v>Производство</v>
      </c>
      <c r="S22" s="17" t="s">
        <v>650</v>
      </c>
      <c r="T22" s="17" t="str">
        <f t="shared" si="11"/>
        <v>Собственное</v>
      </c>
      <c r="U22" s="17" t="s">
        <v>661</v>
      </c>
      <c r="V22" s="17" t="s">
        <v>662</v>
      </c>
      <c r="W22" s="17" t="s">
        <v>682</v>
      </c>
      <c r="X22" s="17">
        <v>1500.0</v>
      </c>
      <c r="Y22" s="17" t="s">
        <v>651</v>
      </c>
      <c r="Z22" s="17" t="s">
        <v>661</v>
      </c>
      <c r="AA22" s="17" t="s">
        <v>676</v>
      </c>
      <c r="AB22" s="13" t="str">
        <f t="shared" si="12"/>
        <v>B</v>
      </c>
      <c r="AC22" s="17" t="s">
        <v>655</v>
      </c>
      <c r="AD22" s="17" t="s">
        <v>656</v>
      </c>
      <c r="AE22" s="17">
        <v>10.0</v>
      </c>
      <c r="AF22" s="17" t="s">
        <v>672</v>
      </c>
      <c r="AG22" s="13" t="str">
        <f t="shared" si="13"/>
        <v>Зрение</v>
      </c>
    </row>
    <row r="23">
      <c r="A23" s="12" t="str">
        <f t="shared" si="1"/>
        <v>022</v>
      </c>
      <c r="B23" s="17" t="s">
        <v>658</v>
      </c>
      <c r="C23" s="13">
        <v>45.0</v>
      </c>
      <c r="D23" s="17" t="s">
        <v>644</v>
      </c>
      <c r="E23" s="17" t="s">
        <v>645</v>
      </c>
      <c r="F23" s="18" t="s">
        <v>659</v>
      </c>
      <c r="G23" s="15" t="str">
        <f t="shared" si="2"/>
        <v>Beginner</v>
      </c>
      <c r="H23" s="16" t="str">
        <f t="shared" si="3"/>
        <v>Западный Казахстан</v>
      </c>
      <c r="I23" s="17" t="s">
        <v>647</v>
      </c>
      <c r="J23" s="13" t="str">
        <f t="shared" si="4"/>
        <v>Гражданин РК</v>
      </c>
      <c r="K23" s="17" t="s">
        <v>648</v>
      </c>
      <c r="L23" s="13">
        <f t="shared" si="5"/>
        <v>2</v>
      </c>
      <c r="M23" s="13" t="str">
        <f t="shared" si="6"/>
        <v>безработный</v>
      </c>
      <c r="N23" s="13" t="str">
        <f t="shared" si="7"/>
        <v>кредит</v>
      </c>
      <c r="O23" s="13" t="str">
        <f t="shared" si="8"/>
        <v>Нет</v>
      </c>
      <c r="P23" s="17" t="s">
        <v>649</v>
      </c>
      <c r="Q23" s="13" t="str">
        <f t="shared" si="9"/>
        <v>Логистика</v>
      </c>
      <c r="R23" s="13" t="str">
        <f t="shared" si="10"/>
        <v>Транспорт</v>
      </c>
      <c r="S23" s="17" t="s">
        <v>661</v>
      </c>
      <c r="T23" s="17" t="str">
        <f t="shared" si="11"/>
        <v>Собственное</v>
      </c>
      <c r="U23" s="17" t="s">
        <v>661</v>
      </c>
      <c r="V23" s="17" t="s">
        <v>662</v>
      </c>
      <c r="W23" s="17" t="s">
        <v>653</v>
      </c>
      <c r="X23" s="17">
        <v>2500.0</v>
      </c>
      <c r="Y23" s="17" t="s">
        <v>651</v>
      </c>
      <c r="Z23" s="17" t="s">
        <v>661</v>
      </c>
      <c r="AA23" s="17" t="s">
        <v>664</v>
      </c>
      <c r="AB23" s="13" t="str">
        <f t="shared" si="12"/>
        <v>B, C</v>
      </c>
      <c r="AC23" s="17" t="s">
        <v>655</v>
      </c>
      <c r="AD23" s="17" t="s">
        <v>671</v>
      </c>
      <c r="AE23" s="17">
        <v>5.0</v>
      </c>
      <c r="AF23" s="17" t="s">
        <v>684</v>
      </c>
      <c r="AG23" s="13" t="str">
        <f t="shared" si="13"/>
        <v>Без ограничений</v>
      </c>
    </row>
    <row r="24">
      <c r="A24" s="12" t="str">
        <f t="shared" si="1"/>
        <v>023</v>
      </c>
      <c r="B24" s="17" t="s">
        <v>643</v>
      </c>
      <c r="C24" s="13">
        <v>49.0</v>
      </c>
      <c r="D24" s="17" t="s">
        <v>644</v>
      </c>
      <c r="E24" s="17" t="s">
        <v>659</v>
      </c>
      <c r="F24" s="18" t="s">
        <v>646</v>
      </c>
      <c r="G24" s="15" t="str">
        <f t="shared" si="2"/>
        <v>Intermediate</v>
      </c>
      <c r="H24" s="16" t="str">
        <f t="shared" si="3"/>
        <v>Западный Казахстан</v>
      </c>
      <c r="I24" s="17" t="s">
        <v>667</v>
      </c>
      <c r="J24" s="13" t="str">
        <f t="shared" si="4"/>
        <v>Гражданин РК</v>
      </c>
      <c r="K24" s="17" t="s">
        <v>668</v>
      </c>
      <c r="L24" s="13">
        <f t="shared" si="5"/>
        <v>1</v>
      </c>
      <c r="M24" s="13" t="str">
        <f t="shared" si="6"/>
        <v>самозанятый</v>
      </c>
      <c r="N24" s="13" t="str">
        <f t="shared" si="7"/>
        <v>покупка авто</v>
      </c>
      <c r="O24" s="13" t="str">
        <f t="shared" si="8"/>
        <v>Да</v>
      </c>
      <c r="P24" s="17" t="s">
        <v>649</v>
      </c>
      <c r="Q24" s="13" t="str">
        <f t="shared" si="9"/>
        <v>Педагогика</v>
      </c>
      <c r="R24" s="13" t="str">
        <f t="shared" si="10"/>
        <v>Образование</v>
      </c>
      <c r="S24" s="17" t="s">
        <v>661</v>
      </c>
      <c r="T24" s="17" t="str">
        <f t="shared" si="11"/>
        <v>Собственное</v>
      </c>
      <c r="U24" s="17" t="s">
        <v>661</v>
      </c>
      <c r="V24" s="17" t="s">
        <v>652</v>
      </c>
      <c r="W24" s="17" t="s">
        <v>680</v>
      </c>
      <c r="X24" s="17">
        <v>2500.0</v>
      </c>
      <c r="Y24" s="17" t="s">
        <v>651</v>
      </c>
      <c r="Z24" s="17" t="s">
        <v>651</v>
      </c>
      <c r="AA24" s="17" t="s">
        <v>664</v>
      </c>
      <c r="AB24" s="13" t="str">
        <f t="shared" si="12"/>
        <v>A</v>
      </c>
      <c r="AC24" s="17" t="s">
        <v>661</v>
      </c>
      <c r="AD24" s="17" t="s">
        <v>656</v>
      </c>
      <c r="AE24" s="17">
        <v>9.0</v>
      </c>
      <c r="AF24" s="17" t="s">
        <v>684</v>
      </c>
      <c r="AG24" s="13" t="str">
        <f t="shared" si="13"/>
        <v>Без ограничений</v>
      </c>
    </row>
    <row r="25">
      <c r="A25" s="12" t="str">
        <f t="shared" si="1"/>
        <v>024</v>
      </c>
      <c r="B25" s="17" t="s">
        <v>658</v>
      </c>
      <c r="C25" s="13">
        <v>51.0</v>
      </c>
      <c r="D25" s="17" t="s">
        <v>666</v>
      </c>
      <c r="E25" s="17" t="s">
        <v>645</v>
      </c>
      <c r="F25" s="18" t="s">
        <v>659</v>
      </c>
      <c r="G25" s="15" t="str">
        <f t="shared" si="2"/>
        <v>No</v>
      </c>
      <c r="H25" s="16" t="str">
        <f t="shared" si="3"/>
        <v>Южный Казахстан</v>
      </c>
      <c r="I25" s="17" t="s">
        <v>673</v>
      </c>
      <c r="J25" s="13" t="str">
        <f t="shared" si="4"/>
        <v>Гражданин РК</v>
      </c>
      <c r="K25" s="17" t="s">
        <v>668</v>
      </c>
      <c r="L25" s="13">
        <f t="shared" si="5"/>
        <v>0</v>
      </c>
      <c r="M25" s="13" t="str">
        <f t="shared" si="6"/>
        <v>наемный работник</v>
      </c>
      <c r="N25" s="13" t="str">
        <f t="shared" si="7"/>
        <v>кредит</v>
      </c>
      <c r="O25" s="13" t="str">
        <f t="shared" si="8"/>
        <v>Нет</v>
      </c>
      <c r="P25" s="17" t="s">
        <v>660</v>
      </c>
      <c r="Q25" s="13" t="str">
        <f t="shared" si="9"/>
        <v>Логистика</v>
      </c>
      <c r="R25" s="13" t="str">
        <f t="shared" si="10"/>
        <v>Транспорт</v>
      </c>
      <c r="S25" s="17" t="s">
        <v>661</v>
      </c>
      <c r="T25" s="17" t="str">
        <f t="shared" si="11"/>
        <v>Собственное</v>
      </c>
      <c r="U25" s="17" t="s">
        <v>661</v>
      </c>
      <c r="V25" s="17" t="s">
        <v>662</v>
      </c>
      <c r="W25" s="17" t="s">
        <v>653</v>
      </c>
      <c r="X25" s="17">
        <v>2500.0</v>
      </c>
      <c r="Y25" s="17" t="s">
        <v>651</v>
      </c>
      <c r="Z25" s="17" t="s">
        <v>651</v>
      </c>
      <c r="AA25" s="17" t="s">
        <v>654</v>
      </c>
      <c r="AB25" s="13" t="str">
        <f t="shared" si="12"/>
        <v>B</v>
      </c>
      <c r="AC25" s="17" t="s">
        <v>655</v>
      </c>
      <c r="AD25" s="17" t="s">
        <v>677</v>
      </c>
      <c r="AE25" s="17">
        <v>8.0</v>
      </c>
      <c r="AF25" s="17" t="s">
        <v>687</v>
      </c>
      <c r="AG25" s="13" t="str">
        <f t="shared" si="13"/>
        <v>Без ограничений</v>
      </c>
    </row>
    <row r="26">
      <c r="A26" s="12" t="str">
        <f t="shared" si="1"/>
        <v>025</v>
      </c>
      <c r="B26" s="17" t="s">
        <v>643</v>
      </c>
      <c r="C26" s="13">
        <v>43.0</v>
      </c>
      <c r="D26" s="17" t="s">
        <v>644</v>
      </c>
      <c r="E26" s="17" t="s">
        <v>645</v>
      </c>
      <c r="F26" s="18" t="s">
        <v>659</v>
      </c>
      <c r="G26" s="15" t="str">
        <f t="shared" si="2"/>
        <v>Beginner</v>
      </c>
      <c r="H26" s="16" t="str">
        <f t="shared" si="3"/>
        <v>Западный Казахстан</v>
      </c>
      <c r="I26" s="17" t="s">
        <v>647</v>
      </c>
      <c r="J26" s="13" t="str">
        <f t="shared" si="4"/>
        <v>Гражданин РК</v>
      </c>
      <c r="K26" s="17" t="s">
        <v>681</v>
      </c>
      <c r="L26" s="13">
        <f t="shared" si="5"/>
        <v>4</v>
      </c>
      <c r="M26" s="13" t="str">
        <f t="shared" si="6"/>
        <v>безработный</v>
      </c>
      <c r="N26" s="13" t="str">
        <f t="shared" si="7"/>
        <v>повышение квалификации</v>
      </c>
      <c r="O26" s="13" t="str">
        <f t="shared" si="8"/>
        <v>Только за счет компании</v>
      </c>
      <c r="P26" s="17" t="s">
        <v>660</v>
      </c>
      <c r="Q26" s="13" t="str">
        <f t="shared" si="9"/>
        <v>Логистика</v>
      </c>
      <c r="R26" s="13" t="str">
        <f t="shared" si="10"/>
        <v>Транспорт</v>
      </c>
      <c r="S26" s="17" t="s">
        <v>650</v>
      </c>
      <c r="T26" s="17" t="str">
        <f t="shared" si="11"/>
        <v>Аренда</v>
      </c>
      <c r="U26" s="17" t="s">
        <v>661</v>
      </c>
      <c r="V26" s="17" t="s">
        <v>662</v>
      </c>
      <c r="W26" s="17" t="s">
        <v>663</v>
      </c>
      <c r="X26" s="17">
        <v>1500.0</v>
      </c>
      <c r="Y26" s="17" t="s">
        <v>651</v>
      </c>
      <c r="Z26" s="17" t="s">
        <v>661</v>
      </c>
      <c r="AA26" s="17" t="s">
        <v>664</v>
      </c>
      <c r="AB26" s="13" t="str">
        <f t="shared" si="12"/>
        <v>A</v>
      </c>
      <c r="AC26" s="17" t="s">
        <v>661</v>
      </c>
      <c r="AD26" s="17" t="s">
        <v>661</v>
      </c>
      <c r="AE26" s="17">
        <v>3.0</v>
      </c>
      <c r="AF26" s="17" t="s">
        <v>683</v>
      </c>
      <c r="AG26" s="13" t="str">
        <f t="shared" si="13"/>
        <v>Без ограничений</v>
      </c>
    </row>
    <row r="27">
      <c r="A27" s="12" t="str">
        <f t="shared" si="1"/>
        <v>026</v>
      </c>
      <c r="B27" s="17" t="s">
        <v>643</v>
      </c>
      <c r="C27" s="13">
        <v>46.0</v>
      </c>
      <c r="D27" s="17" t="s">
        <v>644</v>
      </c>
      <c r="E27" s="17" t="s">
        <v>645</v>
      </c>
      <c r="F27" s="18" t="s">
        <v>645</v>
      </c>
      <c r="G27" s="15" t="str">
        <f t="shared" si="2"/>
        <v>Beginner</v>
      </c>
      <c r="H27" s="16" t="str">
        <f t="shared" si="3"/>
        <v>Центральный Казахстан</v>
      </c>
      <c r="I27" s="17" t="s">
        <v>667</v>
      </c>
      <c r="J27" s="13" t="str">
        <f t="shared" si="4"/>
        <v>Китай</v>
      </c>
      <c r="K27" s="17" t="s">
        <v>648</v>
      </c>
      <c r="L27" s="13">
        <f t="shared" si="5"/>
        <v>1</v>
      </c>
      <c r="M27" s="13" t="str">
        <f t="shared" si="6"/>
        <v>самозанятый</v>
      </c>
      <c r="N27" s="13" t="str">
        <f t="shared" si="7"/>
        <v>повышение квалификации</v>
      </c>
      <c r="O27" s="13" t="str">
        <f t="shared" si="8"/>
        <v>Только за счет компании</v>
      </c>
      <c r="P27" s="17" t="s">
        <v>669</v>
      </c>
      <c r="Q27" s="13" t="str">
        <f t="shared" si="9"/>
        <v>Строительство</v>
      </c>
      <c r="R27" s="13" t="str">
        <f t="shared" si="10"/>
        <v>Производство</v>
      </c>
      <c r="S27" s="17" t="s">
        <v>674</v>
      </c>
      <c r="T27" s="17" t="str">
        <f t="shared" si="11"/>
        <v>Собственное</v>
      </c>
      <c r="U27" s="17" t="s">
        <v>651</v>
      </c>
      <c r="V27" s="17" t="s">
        <v>675</v>
      </c>
      <c r="W27" s="17" t="s">
        <v>670</v>
      </c>
      <c r="X27" s="17">
        <v>1500.0</v>
      </c>
      <c r="Y27" s="17" t="s">
        <v>651</v>
      </c>
      <c r="Z27" s="17" t="s">
        <v>651</v>
      </c>
      <c r="AA27" s="17" t="s">
        <v>676</v>
      </c>
      <c r="AB27" s="13" t="str">
        <f t="shared" si="12"/>
        <v>B, C</v>
      </c>
      <c r="AC27" s="17" t="s">
        <v>655</v>
      </c>
      <c r="AD27" s="17" t="s">
        <v>677</v>
      </c>
      <c r="AE27" s="17">
        <v>5.0</v>
      </c>
      <c r="AF27" s="17" t="s">
        <v>683</v>
      </c>
      <c r="AG27" s="13" t="str">
        <f t="shared" si="13"/>
        <v>Аллергия</v>
      </c>
    </row>
    <row r="28">
      <c r="A28" s="12" t="str">
        <f t="shared" si="1"/>
        <v>027</v>
      </c>
      <c r="B28" s="17" t="s">
        <v>643</v>
      </c>
      <c r="C28" s="13">
        <v>40.0</v>
      </c>
      <c r="D28" s="17" t="s">
        <v>644</v>
      </c>
      <c r="E28" s="17" t="s">
        <v>659</v>
      </c>
      <c r="F28" s="18" t="s">
        <v>659</v>
      </c>
      <c r="G28" s="15" t="str">
        <f t="shared" si="2"/>
        <v>Advanced</v>
      </c>
      <c r="H28" s="16" t="str">
        <f t="shared" si="3"/>
        <v>Южный Казахстан</v>
      </c>
      <c r="I28" s="17" t="s">
        <v>667</v>
      </c>
      <c r="J28" s="13" t="str">
        <f t="shared" si="4"/>
        <v>Гражданин РК</v>
      </c>
      <c r="K28" s="17" t="s">
        <v>668</v>
      </c>
      <c r="L28" s="13">
        <f t="shared" si="5"/>
        <v>0</v>
      </c>
      <c r="M28" s="13" t="str">
        <f t="shared" si="6"/>
        <v>самозанятый</v>
      </c>
      <c r="N28" s="13" t="str">
        <f t="shared" si="7"/>
        <v>покупка авто</v>
      </c>
      <c r="O28" s="13" t="str">
        <f t="shared" si="8"/>
        <v>Только за счет компании</v>
      </c>
      <c r="P28" s="17" t="s">
        <v>660</v>
      </c>
      <c r="Q28" s="13" t="str">
        <f t="shared" si="9"/>
        <v>Экономика</v>
      </c>
      <c r="R28" s="13" t="str">
        <f t="shared" si="10"/>
        <v>Финансы</v>
      </c>
      <c r="S28" s="17" t="s">
        <v>661</v>
      </c>
      <c r="T28" s="17" t="str">
        <f t="shared" si="11"/>
        <v>Аренда</v>
      </c>
      <c r="U28" s="17" t="s">
        <v>661</v>
      </c>
      <c r="V28" s="17" t="s">
        <v>675</v>
      </c>
      <c r="W28" s="17" t="s">
        <v>670</v>
      </c>
      <c r="X28" s="17">
        <v>4000.0</v>
      </c>
      <c r="Y28" s="17" t="s">
        <v>651</v>
      </c>
      <c r="Z28" s="17" t="s">
        <v>661</v>
      </c>
      <c r="AA28" s="17" t="s">
        <v>676</v>
      </c>
      <c r="AB28" s="13" t="str">
        <f t="shared" si="12"/>
        <v>Нет</v>
      </c>
      <c r="AC28" s="17" t="s">
        <v>661</v>
      </c>
      <c r="AD28" s="17" t="s">
        <v>661</v>
      </c>
      <c r="AE28" s="17">
        <v>4.0</v>
      </c>
      <c r="AF28" s="17" t="s">
        <v>679</v>
      </c>
      <c r="AG28" s="13" t="str">
        <f t="shared" si="13"/>
        <v>Аллергия</v>
      </c>
    </row>
    <row r="29">
      <c r="A29" s="12" t="str">
        <f t="shared" si="1"/>
        <v>028</v>
      </c>
      <c r="B29" s="17" t="s">
        <v>658</v>
      </c>
      <c r="C29" s="13">
        <v>39.0</v>
      </c>
      <c r="D29" s="17" t="s">
        <v>666</v>
      </c>
      <c r="E29" s="17" t="s">
        <v>659</v>
      </c>
      <c r="F29" s="18" t="s">
        <v>659</v>
      </c>
      <c r="G29" s="15" t="str">
        <f t="shared" si="2"/>
        <v>No</v>
      </c>
      <c r="H29" s="16" t="str">
        <f t="shared" si="3"/>
        <v>Южный Казахстан</v>
      </c>
      <c r="I29" s="17" t="s">
        <v>667</v>
      </c>
      <c r="J29" s="13" t="str">
        <f t="shared" si="4"/>
        <v>Гражданин РК</v>
      </c>
      <c r="K29" s="17" t="s">
        <v>668</v>
      </c>
      <c r="L29" s="13">
        <f t="shared" si="5"/>
        <v>0</v>
      </c>
      <c r="M29" s="13" t="str">
        <f t="shared" si="6"/>
        <v>самозанятый</v>
      </c>
      <c r="N29" s="13" t="str">
        <f t="shared" si="7"/>
        <v>поиск новой работы</v>
      </c>
      <c r="O29" s="13" t="str">
        <f t="shared" si="8"/>
        <v>Нет</v>
      </c>
      <c r="P29" s="17" t="s">
        <v>688</v>
      </c>
      <c r="Q29" s="13" t="str">
        <f t="shared" si="9"/>
        <v>Строительство</v>
      </c>
      <c r="R29" s="13" t="str">
        <f t="shared" si="10"/>
        <v>Производство</v>
      </c>
      <c r="S29" s="17" t="s">
        <v>674</v>
      </c>
      <c r="T29" s="17" t="str">
        <f t="shared" si="11"/>
        <v>Аренда</v>
      </c>
      <c r="U29" s="17" t="s">
        <v>651</v>
      </c>
      <c r="V29" s="17" t="s">
        <v>662</v>
      </c>
      <c r="W29" s="17" t="s">
        <v>670</v>
      </c>
      <c r="X29" s="17">
        <v>1500.0</v>
      </c>
      <c r="Y29" s="17" t="s">
        <v>651</v>
      </c>
      <c r="Z29" s="17" t="s">
        <v>661</v>
      </c>
      <c r="AA29" s="17" t="s">
        <v>654</v>
      </c>
      <c r="AB29" s="13" t="str">
        <f t="shared" si="12"/>
        <v>Нет</v>
      </c>
      <c r="AC29" s="17" t="s">
        <v>661</v>
      </c>
      <c r="AD29" s="17" t="s">
        <v>656</v>
      </c>
      <c r="AE29" s="17">
        <v>4.0</v>
      </c>
      <c r="AF29" s="17" t="s">
        <v>672</v>
      </c>
      <c r="AG29" s="13" t="str">
        <f t="shared" si="13"/>
        <v>Без ограничений</v>
      </c>
    </row>
    <row r="30">
      <c r="A30" s="12" t="str">
        <f t="shared" si="1"/>
        <v>029</v>
      </c>
      <c r="B30" s="17" t="s">
        <v>658</v>
      </c>
      <c r="C30" s="13">
        <v>41.0</v>
      </c>
      <c r="D30" s="17" t="s">
        <v>644</v>
      </c>
      <c r="E30" s="17" t="s">
        <v>646</v>
      </c>
      <c r="F30" s="18" t="s">
        <v>646</v>
      </c>
      <c r="G30" s="15" t="str">
        <f t="shared" si="2"/>
        <v>Advanced</v>
      </c>
      <c r="H30" s="16" t="str">
        <f t="shared" si="3"/>
        <v>Западный Казахстан</v>
      </c>
      <c r="I30" s="17" t="s">
        <v>647</v>
      </c>
      <c r="J30" s="13" t="str">
        <f t="shared" si="4"/>
        <v>Гражданин РК</v>
      </c>
      <c r="K30" s="17" t="s">
        <v>668</v>
      </c>
      <c r="L30" s="13">
        <f t="shared" si="5"/>
        <v>0</v>
      </c>
      <c r="M30" s="13" t="str">
        <f t="shared" si="6"/>
        <v>наемный работник</v>
      </c>
      <c r="N30" s="13" t="str">
        <f t="shared" si="7"/>
        <v>отпуск за границей</v>
      </c>
      <c r="O30" s="13" t="str">
        <f t="shared" si="8"/>
        <v>Нет</v>
      </c>
      <c r="P30" s="17" t="s">
        <v>685</v>
      </c>
      <c r="Q30" s="13" t="str">
        <f t="shared" si="9"/>
        <v>Медицина</v>
      </c>
      <c r="R30" s="13" t="str">
        <f t="shared" si="10"/>
        <v>Здравоохранение</v>
      </c>
      <c r="S30" s="17" t="s">
        <v>674</v>
      </c>
      <c r="T30" s="17" t="str">
        <f t="shared" si="11"/>
        <v>Аренда</v>
      </c>
      <c r="U30" s="17" t="s">
        <v>651</v>
      </c>
      <c r="V30" s="17" t="s">
        <v>675</v>
      </c>
      <c r="W30" s="17" t="s">
        <v>682</v>
      </c>
      <c r="X30" s="17">
        <v>4000.0</v>
      </c>
      <c r="Y30" s="17" t="s">
        <v>651</v>
      </c>
      <c r="Z30" s="17" t="s">
        <v>651</v>
      </c>
      <c r="AA30" s="17" t="s">
        <v>664</v>
      </c>
      <c r="AB30" s="13" t="str">
        <f t="shared" si="12"/>
        <v>B</v>
      </c>
      <c r="AC30" s="17" t="s">
        <v>655</v>
      </c>
      <c r="AD30" s="17" t="s">
        <v>677</v>
      </c>
      <c r="AE30" s="17">
        <v>6.0</v>
      </c>
      <c r="AF30" s="17" t="s">
        <v>687</v>
      </c>
      <c r="AG30" s="13" t="str">
        <f t="shared" si="13"/>
        <v>Без ограничений</v>
      </c>
    </row>
    <row r="31">
      <c r="A31" s="12" t="str">
        <f t="shared" si="1"/>
        <v>030</v>
      </c>
      <c r="B31" s="17" t="s">
        <v>658</v>
      </c>
      <c r="C31" s="13">
        <v>48.0</v>
      </c>
      <c r="D31" s="17" t="s">
        <v>666</v>
      </c>
      <c r="E31" s="17" t="s">
        <v>659</v>
      </c>
      <c r="F31" s="18" t="s">
        <v>646</v>
      </c>
      <c r="G31" s="15" t="str">
        <f t="shared" si="2"/>
        <v>Intermediate</v>
      </c>
      <c r="H31" s="16" t="str">
        <f t="shared" si="3"/>
        <v>Центральный Казахстан</v>
      </c>
      <c r="I31" s="17" t="s">
        <v>667</v>
      </c>
      <c r="J31" s="13" t="str">
        <f t="shared" si="4"/>
        <v>Гражданин РК</v>
      </c>
      <c r="K31" s="17" t="s">
        <v>648</v>
      </c>
      <c r="L31" s="13">
        <f t="shared" si="5"/>
        <v>4</v>
      </c>
      <c r="M31" s="13" t="str">
        <f t="shared" si="6"/>
        <v>безработный</v>
      </c>
      <c r="N31" s="13" t="str">
        <f t="shared" si="7"/>
        <v>поиск новой работы</v>
      </c>
      <c r="O31" s="13" t="str">
        <f t="shared" si="8"/>
        <v>Только за счет компании</v>
      </c>
      <c r="P31" s="17" t="s">
        <v>678</v>
      </c>
      <c r="Q31" s="13" t="str">
        <f t="shared" si="9"/>
        <v>Педагогика</v>
      </c>
      <c r="R31" s="13" t="str">
        <f t="shared" si="10"/>
        <v>Образование</v>
      </c>
      <c r="S31" s="17" t="s">
        <v>650</v>
      </c>
      <c r="T31" s="17" t="str">
        <f t="shared" si="11"/>
        <v>Аренда</v>
      </c>
      <c r="U31" s="17" t="s">
        <v>661</v>
      </c>
      <c r="V31" s="17" t="s">
        <v>675</v>
      </c>
      <c r="W31" s="17" t="s">
        <v>663</v>
      </c>
      <c r="X31" s="17">
        <v>2500.0</v>
      </c>
      <c r="Y31" s="17" t="s">
        <v>651</v>
      </c>
      <c r="Z31" s="17" t="s">
        <v>651</v>
      </c>
      <c r="AA31" s="17" t="s">
        <v>676</v>
      </c>
      <c r="AB31" s="13" t="str">
        <f t="shared" si="12"/>
        <v>Нет</v>
      </c>
      <c r="AC31" s="17" t="s">
        <v>661</v>
      </c>
      <c r="AD31" s="17" t="s">
        <v>661</v>
      </c>
      <c r="AE31" s="17">
        <v>4.0</v>
      </c>
      <c r="AF31" s="17" t="s">
        <v>679</v>
      </c>
      <c r="AG31" s="13" t="str">
        <f t="shared" si="13"/>
        <v>Зрение</v>
      </c>
    </row>
    <row r="32">
      <c r="A32" s="12" t="str">
        <f t="shared" si="1"/>
        <v>031</v>
      </c>
      <c r="B32" s="17" t="s">
        <v>658</v>
      </c>
      <c r="C32" s="13">
        <v>44.0</v>
      </c>
      <c r="D32" s="17" t="s">
        <v>644</v>
      </c>
      <c r="E32" s="17" t="s">
        <v>645</v>
      </c>
      <c r="F32" s="18" t="s">
        <v>659</v>
      </c>
      <c r="G32" s="15" t="str">
        <f t="shared" si="2"/>
        <v>Intermediate</v>
      </c>
      <c r="H32" s="16" t="str">
        <f t="shared" si="3"/>
        <v>Северный Казахстан</v>
      </c>
      <c r="I32" s="17" t="s">
        <v>673</v>
      </c>
      <c r="J32" s="13" t="str">
        <f t="shared" si="4"/>
        <v>Гражданин РК</v>
      </c>
      <c r="K32" s="17" t="s">
        <v>681</v>
      </c>
      <c r="L32" s="13">
        <f t="shared" si="5"/>
        <v>3</v>
      </c>
      <c r="M32" s="13" t="str">
        <f t="shared" si="6"/>
        <v>безработный</v>
      </c>
      <c r="N32" s="13" t="str">
        <f t="shared" si="7"/>
        <v>рождение ребенка</v>
      </c>
      <c r="O32" s="13" t="str">
        <f t="shared" si="8"/>
        <v>Да</v>
      </c>
      <c r="P32" s="17" t="s">
        <v>649</v>
      </c>
      <c r="Q32" s="13" t="str">
        <f t="shared" si="9"/>
        <v>Сервис</v>
      </c>
      <c r="R32" s="13" t="str">
        <f t="shared" si="10"/>
        <v>Услуги</v>
      </c>
      <c r="S32" s="17" t="s">
        <v>650</v>
      </c>
      <c r="T32" s="17" t="str">
        <f t="shared" si="11"/>
        <v>Аренда</v>
      </c>
      <c r="U32" s="17" t="s">
        <v>651</v>
      </c>
      <c r="V32" s="17" t="s">
        <v>675</v>
      </c>
      <c r="W32" s="17" t="s">
        <v>670</v>
      </c>
      <c r="X32" s="17">
        <v>800.0</v>
      </c>
      <c r="Y32" s="17" t="s">
        <v>651</v>
      </c>
      <c r="Z32" s="17" t="s">
        <v>651</v>
      </c>
      <c r="AA32" s="17" t="s">
        <v>654</v>
      </c>
      <c r="AB32" s="13" t="str">
        <f t="shared" si="12"/>
        <v>B</v>
      </c>
      <c r="AC32" s="17" t="s">
        <v>655</v>
      </c>
      <c r="AD32" s="17" t="s">
        <v>671</v>
      </c>
      <c r="AE32" s="17">
        <v>7.0</v>
      </c>
      <c r="AF32" s="17" t="s">
        <v>657</v>
      </c>
      <c r="AG32" s="13" t="str">
        <f t="shared" si="13"/>
        <v>Зрение</v>
      </c>
    </row>
    <row r="33">
      <c r="A33" s="12" t="str">
        <f t="shared" si="1"/>
        <v>032</v>
      </c>
      <c r="B33" s="17" t="s">
        <v>643</v>
      </c>
      <c r="C33" s="13">
        <v>49.0</v>
      </c>
      <c r="D33" s="17" t="s">
        <v>644</v>
      </c>
      <c r="E33" s="17" t="s">
        <v>645</v>
      </c>
      <c r="F33" s="18" t="s">
        <v>646</v>
      </c>
      <c r="G33" s="15" t="str">
        <f t="shared" si="2"/>
        <v>Beginner</v>
      </c>
      <c r="H33" s="16" t="str">
        <f t="shared" si="3"/>
        <v>Восточный Казахстан</v>
      </c>
      <c r="I33" s="17" t="s">
        <v>647</v>
      </c>
      <c r="J33" s="13" t="str">
        <f t="shared" si="4"/>
        <v>Гражданин РК</v>
      </c>
      <c r="K33" s="17" t="s">
        <v>681</v>
      </c>
      <c r="L33" s="13">
        <f t="shared" si="5"/>
        <v>3</v>
      </c>
      <c r="M33" s="13" t="str">
        <f t="shared" si="6"/>
        <v>безработный</v>
      </c>
      <c r="N33" s="13" t="str">
        <f t="shared" si="7"/>
        <v>переезд</v>
      </c>
      <c r="O33" s="13" t="str">
        <f t="shared" si="8"/>
        <v>Да</v>
      </c>
      <c r="P33" s="17" t="s">
        <v>678</v>
      </c>
      <c r="Q33" s="13" t="str">
        <f t="shared" si="9"/>
        <v>Маркетинг</v>
      </c>
      <c r="R33" s="13" t="str">
        <f t="shared" si="10"/>
        <v>Торговля</v>
      </c>
      <c r="S33" s="17" t="s">
        <v>661</v>
      </c>
      <c r="T33" s="17" t="str">
        <f t="shared" si="11"/>
        <v>С родителями</v>
      </c>
      <c r="U33" s="17" t="s">
        <v>651</v>
      </c>
      <c r="V33" s="17" t="s">
        <v>652</v>
      </c>
      <c r="W33" s="17" t="s">
        <v>670</v>
      </c>
      <c r="X33" s="17">
        <v>1000.0</v>
      </c>
      <c r="Y33" s="17" t="s">
        <v>651</v>
      </c>
      <c r="Z33" s="17" t="s">
        <v>661</v>
      </c>
      <c r="AA33" s="17" t="s">
        <v>664</v>
      </c>
      <c r="AB33" s="13" t="str">
        <f t="shared" si="12"/>
        <v>B</v>
      </c>
      <c r="AC33" s="17" t="s">
        <v>655</v>
      </c>
      <c r="AD33" s="17" t="s">
        <v>677</v>
      </c>
      <c r="AE33" s="17">
        <v>4.0</v>
      </c>
      <c r="AF33" s="17" t="s">
        <v>689</v>
      </c>
      <c r="AG33" s="13" t="str">
        <f t="shared" si="13"/>
        <v>Без ограничений</v>
      </c>
    </row>
    <row r="34">
      <c r="A34" s="12" t="str">
        <f t="shared" si="1"/>
        <v>033</v>
      </c>
      <c r="B34" s="17" t="s">
        <v>658</v>
      </c>
      <c r="C34" s="13">
        <v>49.0</v>
      </c>
      <c r="D34" s="17" t="s">
        <v>666</v>
      </c>
      <c r="E34" s="17" t="s">
        <v>645</v>
      </c>
      <c r="F34" s="18" t="s">
        <v>646</v>
      </c>
      <c r="G34" s="15" t="str">
        <f t="shared" si="2"/>
        <v>Intermediate</v>
      </c>
      <c r="H34" s="16" t="str">
        <f t="shared" si="3"/>
        <v>Северный Казахстан</v>
      </c>
      <c r="I34" s="17" t="s">
        <v>667</v>
      </c>
      <c r="J34" s="13" t="str">
        <f t="shared" si="4"/>
        <v>Гражданин РК</v>
      </c>
      <c r="K34" s="17" t="s">
        <v>648</v>
      </c>
      <c r="L34" s="13">
        <f t="shared" si="5"/>
        <v>1</v>
      </c>
      <c r="M34" s="13" t="str">
        <f t="shared" si="6"/>
        <v>наемный работник</v>
      </c>
      <c r="N34" s="13" t="str">
        <f t="shared" si="7"/>
        <v>повышение квалификации</v>
      </c>
      <c r="O34" s="13" t="str">
        <f t="shared" si="8"/>
        <v>Да</v>
      </c>
      <c r="P34" s="17" t="s">
        <v>678</v>
      </c>
      <c r="Q34" s="13" t="str">
        <f t="shared" si="9"/>
        <v>Педагогика</v>
      </c>
      <c r="R34" s="13" t="str">
        <f t="shared" si="10"/>
        <v>Образование</v>
      </c>
      <c r="S34" s="17" t="s">
        <v>650</v>
      </c>
      <c r="T34" s="17" t="str">
        <f t="shared" si="11"/>
        <v>С родителями</v>
      </c>
      <c r="U34" s="17" t="s">
        <v>661</v>
      </c>
      <c r="V34" s="17" t="s">
        <v>675</v>
      </c>
      <c r="W34" s="17" t="s">
        <v>653</v>
      </c>
      <c r="X34" s="17">
        <v>800.0</v>
      </c>
      <c r="Y34" s="17" t="s">
        <v>651</v>
      </c>
      <c r="Z34" s="17" t="s">
        <v>661</v>
      </c>
      <c r="AA34" s="17" t="s">
        <v>676</v>
      </c>
      <c r="AB34" s="13" t="str">
        <f t="shared" si="12"/>
        <v>Нет</v>
      </c>
      <c r="AC34" s="17" t="s">
        <v>661</v>
      </c>
      <c r="AD34" s="17" t="s">
        <v>661</v>
      </c>
      <c r="AE34" s="17">
        <v>3.0</v>
      </c>
      <c r="AF34" s="17" t="s">
        <v>686</v>
      </c>
      <c r="AG34" s="13" t="str">
        <f t="shared" si="13"/>
        <v>Без ограничений</v>
      </c>
    </row>
    <row r="35">
      <c r="A35" s="12" t="str">
        <f t="shared" si="1"/>
        <v>034</v>
      </c>
      <c r="B35" s="17" t="s">
        <v>643</v>
      </c>
      <c r="C35" s="13">
        <v>49.0</v>
      </c>
      <c r="D35" s="17" t="s">
        <v>666</v>
      </c>
      <c r="E35" s="17" t="s">
        <v>645</v>
      </c>
      <c r="F35" s="18" t="s">
        <v>646</v>
      </c>
      <c r="G35" s="15" t="str">
        <f t="shared" si="2"/>
        <v>Intermediate</v>
      </c>
      <c r="H35" s="16" t="str">
        <f t="shared" si="3"/>
        <v>Восточный Казахстан</v>
      </c>
      <c r="I35" s="17" t="s">
        <v>667</v>
      </c>
      <c r="J35" s="13" t="str">
        <f t="shared" si="4"/>
        <v>Гражданин РК</v>
      </c>
      <c r="K35" s="17" t="s">
        <v>668</v>
      </c>
      <c r="L35" s="13">
        <f t="shared" si="5"/>
        <v>0</v>
      </c>
      <c r="M35" s="13" t="str">
        <f t="shared" si="6"/>
        <v>самозанятый</v>
      </c>
      <c r="N35" s="13" t="str">
        <f t="shared" si="7"/>
        <v>свадьба</v>
      </c>
      <c r="O35" s="13" t="str">
        <f t="shared" si="8"/>
        <v>Только за счет компании</v>
      </c>
      <c r="P35" s="17" t="s">
        <v>678</v>
      </c>
      <c r="Q35" s="13" t="str">
        <f t="shared" si="9"/>
        <v>Дизайн</v>
      </c>
      <c r="R35" s="13" t="str">
        <f t="shared" si="10"/>
        <v>Услуги</v>
      </c>
      <c r="S35" s="17" t="s">
        <v>650</v>
      </c>
      <c r="T35" s="17" t="str">
        <f t="shared" si="11"/>
        <v>Собственное</v>
      </c>
      <c r="U35" s="17" t="s">
        <v>651</v>
      </c>
      <c r="V35" s="17" t="s">
        <v>675</v>
      </c>
      <c r="W35" s="17" t="s">
        <v>653</v>
      </c>
      <c r="X35" s="17">
        <v>1000.0</v>
      </c>
      <c r="Y35" s="17" t="s">
        <v>651</v>
      </c>
      <c r="Z35" s="17" t="s">
        <v>661</v>
      </c>
      <c r="AA35" s="17" t="s">
        <v>676</v>
      </c>
      <c r="AB35" s="13" t="str">
        <f t="shared" si="12"/>
        <v>A</v>
      </c>
      <c r="AC35" s="17" t="s">
        <v>661</v>
      </c>
      <c r="AD35" s="17" t="s">
        <v>656</v>
      </c>
      <c r="AE35" s="17">
        <v>9.0</v>
      </c>
      <c r="AF35" s="17" t="s">
        <v>672</v>
      </c>
      <c r="AG35" s="13" t="str">
        <f t="shared" si="13"/>
        <v>Без ограничений</v>
      </c>
    </row>
    <row r="36">
      <c r="A36" s="12" t="str">
        <f t="shared" si="1"/>
        <v>035</v>
      </c>
      <c r="B36" s="17" t="s">
        <v>643</v>
      </c>
      <c r="C36" s="13">
        <v>49.0</v>
      </c>
      <c r="D36" s="17" t="s">
        <v>644</v>
      </c>
      <c r="E36" s="17" t="s">
        <v>645</v>
      </c>
      <c r="F36" s="18" t="s">
        <v>646</v>
      </c>
      <c r="G36" s="15" t="str">
        <f t="shared" si="2"/>
        <v>Intermediate</v>
      </c>
      <c r="H36" s="16" t="str">
        <f t="shared" si="3"/>
        <v>Южный Казахстан</v>
      </c>
      <c r="I36" s="17" t="s">
        <v>673</v>
      </c>
      <c r="J36" s="13" t="str">
        <f t="shared" si="4"/>
        <v>Гражданин РК</v>
      </c>
      <c r="K36" s="17" t="s">
        <v>648</v>
      </c>
      <c r="L36" s="13">
        <f t="shared" si="5"/>
        <v>3</v>
      </c>
      <c r="M36" s="13" t="str">
        <f t="shared" si="6"/>
        <v>наемный работник</v>
      </c>
      <c r="N36" s="13" t="str">
        <f t="shared" si="7"/>
        <v>ремонт</v>
      </c>
      <c r="O36" s="13" t="str">
        <f t="shared" si="8"/>
        <v>Нет</v>
      </c>
      <c r="P36" s="17" t="s">
        <v>649</v>
      </c>
      <c r="Q36" s="13" t="str">
        <f t="shared" si="9"/>
        <v>Медицина</v>
      </c>
      <c r="R36" s="13" t="str">
        <f t="shared" si="10"/>
        <v>Здравоохранение</v>
      </c>
      <c r="S36" s="17" t="s">
        <v>674</v>
      </c>
      <c r="T36" s="17" t="str">
        <f t="shared" si="11"/>
        <v>Собственное</v>
      </c>
      <c r="U36" s="17" t="s">
        <v>661</v>
      </c>
      <c r="V36" s="17" t="s">
        <v>662</v>
      </c>
      <c r="W36" s="17" t="s">
        <v>682</v>
      </c>
      <c r="X36" s="17">
        <v>1500.0</v>
      </c>
      <c r="Y36" s="17" t="s">
        <v>651</v>
      </c>
      <c r="Z36" s="17" t="s">
        <v>661</v>
      </c>
      <c r="AA36" s="17" t="s">
        <v>664</v>
      </c>
      <c r="AB36" s="13" t="str">
        <f t="shared" si="12"/>
        <v>Нет</v>
      </c>
      <c r="AC36" s="17" t="s">
        <v>661</v>
      </c>
      <c r="AD36" s="17" t="s">
        <v>661</v>
      </c>
      <c r="AE36" s="17">
        <v>4.0</v>
      </c>
      <c r="AF36" s="17" t="s">
        <v>689</v>
      </c>
      <c r="AG36" s="13" t="str">
        <f t="shared" si="13"/>
        <v>Без ограничений</v>
      </c>
    </row>
    <row r="37">
      <c r="A37" s="12" t="str">
        <f t="shared" si="1"/>
        <v>036</v>
      </c>
      <c r="B37" s="17" t="s">
        <v>643</v>
      </c>
      <c r="C37" s="13">
        <v>49.0</v>
      </c>
      <c r="D37" s="17" t="s">
        <v>644</v>
      </c>
      <c r="E37" s="17" t="s">
        <v>659</v>
      </c>
      <c r="F37" s="18" t="s">
        <v>659</v>
      </c>
      <c r="G37" s="15" t="str">
        <f t="shared" si="2"/>
        <v>No</v>
      </c>
      <c r="H37" s="16" t="str">
        <f t="shared" si="3"/>
        <v>Восточный Казахстан</v>
      </c>
      <c r="I37" s="17" t="s">
        <v>673</v>
      </c>
      <c r="J37" s="13" t="str">
        <f t="shared" si="4"/>
        <v>Гражданин РК</v>
      </c>
      <c r="K37" s="17" t="s">
        <v>668</v>
      </c>
      <c r="L37" s="13">
        <f t="shared" si="5"/>
        <v>0</v>
      </c>
      <c r="M37" s="13" t="str">
        <f t="shared" si="6"/>
        <v>безработный</v>
      </c>
      <c r="N37" s="13" t="str">
        <f t="shared" si="7"/>
        <v>покупка авто</v>
      </c>
      <c r="O37" s="13" t="str">
        <f t="shared" si="8"/>
        <v>Да</v>
      </c>
      <c r="P37" s="17" t="s">
        <v>678</v>
      </c>
      <c r="Q37" s="13" t="str">
        <f t="shared" si="9"/>
        <v>Строительство</v>
      </c>
      <c r="R37" s="13" t="str">
        <f t="shared" si="10"/>
        <v>Производство</v>
      </c>
      <c r="S37" s="17" t="s">
        <v>650</v>
      </c>
      <c r="T37" s="17" t="str">
        <f t="shared" si="11"/>
        <v>Собственное</v>
      </c>
      <c r="U37" s="17" t="s">
        <v>651</v>
      </c>
      <c r="V37" s="17" t="s">
        <v>662</v>
      </c>
      <c r="W37" s="17" t="s">
        <v>682</v>
      </c>
      <c r="X37" s="17">
        <v>4000.0</v>
      </c>
      <c r="Y37" s="17" t="s">
        <v>651</v>
      </c>
      <c r="Z37" s="17" t="s">
        <v>661</v>
      </c>
      <c r="AA37" s="17" t="s">
        <v>654</v>
      </c>
      <c r="AB37" s="13" t="str">
        <f t="shared" si="12"/>
        <v>D</v>
      </c>
      <c r="AC37" s="17" t="s">
        <v>661</v>
      </c>
      <c r="AD37" s="17" t="s">
        <v>656</v>
      </c>
      <c r="AE37" s="17">
        <v>6.0</v>
      </c>
      <c r="AF37" s="17" t="s">
        <v>683</v>
      </c>
      <c r="AG37" s="13" t="str">
        <f t="shared" si="13"/>
        <v>Без ограничений</v>
      </c>
    </row>
    <row r="38">
      <c r="A38" s="12" t="str">
        <f t="shared" si="1"/>
        <v>037</v>
      </c>
      <c r="B38" s="17" t="s">
        <v>658</v>
      </c>
      <c r="C38" s="13">
        <v>49.0</v>
      </c>
      <c r="D38" s="17" t="s">
        <v>666</v>
      </c>
      <c r="E38" s="17" t="s">
        <v>659</v>
      </c>
      <c r="F38" s="18" t="s">
        <v>645</v>
      </c>
      <c r="G38" s="15" t="str">
        <f t="shared" si="2"/>
        <v>Advanced</v>
      </c>
      <c r="H38" s="16" t="str">
        <f t="shared" si="3"/>
        <v>Южный Казахстан</v>
      </c>
      <c r="I38" s="17" t="s">
        <v>667</v>
      </c>
      <c r="J38" s="13" t="str">
        <f t="shared" si="4"/>
        <v>Гражданин РК</v>
      </c>
      <c r="K38" s="17" t="s">
        <v>648</v>
      </c>
      <c r="L38" s="13">
        <f t="shared" si="5"/>
        <v>2</v>
      </c>
      <c r="M38" s="13" t="str">
        <f t="shared" si="6"/>
        <v>наемный работник</v>
      </c>
      <c r="N38" s="13" t="str">
        <f t="shared" si="7"/>
        <v>покупка авто</v>
      </c>
      <c r="O38" s="13" t="str">
        <f t="shared" si="8"/>
        <v>Только за счет компании</v>
      </c>
      <c r="P38" s="17" t="s">
        <v>660</v>
      </c>
      <c r="Q38" s="13" t="str">
        <f t="shared" si="9"/>
        <v>Логистика</v>
      </c>
      <c r="R38" s="13" t="str">
        <f t="shared" si="10"/>
        <v>Транспорт</v>
      </c>
      <c r="S38" s="17" t="s">
        <v>674</v>
      </c>
      <c r="T38" s="17" t="str">
        <f t="shared" si="11"/>
        <v>Собственное</v>
      </c>
      <c r="U38" s="17" t="s">
        <v>651</v>
      </c>
      <c r="V38" s="17" t="s">
        <v>662</v>
      </c>
      <c r="W38" s="17" t="s">
        <v>682</v>
      </c>
      <c r="X38" s="17">
        <v>2500.0</v>
      </c>
      <c r="Y38" s="17" t="s">
        <v>651</v>
      </c>
      <c r="Z38" s="17" t="s">
        <v>651</v>
      </c>
      <c r="AA38" s="17" t="s">
        <v>664</v>
      </c>
      <c r="AB38" s="13" t="str">
        <f t="shared" si="12"/>
        <v>B</v>
      </c>
      <c r="AC38" s="17" t="s">
        <v>661</v>
      </c>
      <c r="AD38" s="17" t="s">
        <v>656</v>
      </c>
      <c r="AE38" s="17">
        <v>8.0</v>
      </c>
      <c r="AF38" s="17" t="s">
        <v>665</v>
      </c>
      <c r="AG38" s="13" t="str">
        <f t="shared" si="13"/>
        <v>Без ограничений</v>
      </c>
    </row>
    <row r="39">
      <c r="A39" s="12" t="str">
        <f t="shared" si="1"/>
        <v>038</v>
      </c>
      <c r="B39" s="17" t="s">
        <v>658</v>
      </c>
      <c r="C39" s="13">
        <v>49.0</v>
      </c>
      <c r="D39" s="17" t="s">
        <v>644</v>
      </c>
      <c r="E39" s="17" t="s">
        <v>646</v>
      </c>
      <c r="F39" s="18" t="s">
        <v>659</v>
      </c>
      <c r="G39" s="15" t="str">
        <f t="shared" si="2"/>
        <v>Beginner</v>
      </c>
      <c r="H39" s="16" t="str">
        <f t="shared" si="3"/>
        <v>Северный Казахстан</v>
      </c>
      <c r="I39" s="17" t="s">
        <v>673</v>
      </c>
      <c r="J39" s="13" t="str">
        <f t="shared" si="4"/>
        <v>Гражданин РК</v>
      </c>
      <c r="K39" s="17" t="s">
        <v>668</v>
      </c>
      <c r="L39" s="13">
        <f t="shared" si="5"/>
        <v>0</v>
      </c>
      <c r="M39" s="13" t="str">
        <f t="shared" si="6"/>
        <v>самозанятый</v>
      </c>
      <c r="N39" s="13" t="str">
        <f t="shared" si="7"/>
        <v>переезд</v>
      </c>
      <c r="O39" s="13" t="str">
        <f t="shared" si="8"/>
        <v>Только за счет компании</v>
      </c>
      <c r="P39" s="17" t="s">
        <v>688</v>
      </c>
      <c r="Q39" s="13" t="str">
        <f t="shared" si="9"/>
        <v>Логистика</v>
      </c>
      <c r="R39" s="13" t="str">
        <f t="shared" si="10"/>
        <v>Транспорт</v>
      </c>
      <c r="S39" s="17" t="s">
        <v>674</v>
      </c>
      <c r="T39" s="17" t="str">
        <f t="shared" si="11"/>
        <v>Аренда</v>
      </c>
      <c r="U39" s="17" t="s">
        <v>651</v>
      </c>
      <c r="V39" s="17" t="s">
        <v>662</v>
      </c>
      <c r="W39" s="17" t="s">
        <v>680</v>
      </c>
      <c r="X39" s="17">
        <v>4000.0</v>
      </c>
      <c r="Y39" s="17" t="s">
        <v>651</v>
      </c>
      <c r="Z39" s="17" t="s">
        <v>661</v>
      </c>
      <c r="AA39" s="17" t="s">
        <v>654</v>
      </c>
      <c r="AB39" s="13" t="str">
        <f t="shared" si="12"/>
        <v>B</v>
      </c>
      <c r="AC39" s="17" t="s">
        <v>661</v>
      </c>
      <c r="AD39" s="17" t="s">
        <v>677</v>
      </c>
      <c r="AE39" s="17">
        <v>5.0</v>
      </c>
      <c r="AF39" s="17" t="s">
        <v>684</v>
      </c>
      <c r="AG39" s="13" t="str">
        <f t="shared" si="13"/>
        <v>Без ограничений</v>
      </c>
    </row>
    <row r="40">
      <c r="A40" s="12" t="str">
        <f t="shared" si="1"/>
        <v>039</v>
      </c>
      <c r="B40" s="17" t="s">
        <v>658</v>
      </c>
      <c r="C40" s="13">
        <v>49.0</v>
      </c>
      <c r="D40" s="17" t="s">
        <v>666</v>
      </c>
      <c r="E40" s="17" t="s">
        <v>646</v>
      </c>
      <c r="F40" s="18" t="s">
        <v>645</v>
      </c>
      <c r="G40" s="15" t="str">
        <f t="shared" si="2"/>
        <v>Advanced</v>
      </c>
      <c r="H40" s="16" t="str">
        <f t="shared" si="3"/>
        <v>Южный Казахстан</v>
      </c>
      <c r="I40" s="17" t="s">
        <v>673</v>
      </c>
      <c r="J40" s="13" t="str">
        <f t="shared" si="4"/>
        <v>Гражданин РК</v>
      </c>
      <c r="K40" s="17" t="s">
        <v>648</v>
      </c>
      <c r="L40" s="13">
        <f t="shared" si="5"/>
        <v>0</v>
      </c>
      <c r="M40" s="13" t="str">
        <f t="shared" si="6"/>
        <v>наемный работник</v>
      </c>
      <c r="N40" s="13" t="str">
        <f t="shared" si="7"/>
        <v>кредит</v>
      </c>
      <c r="O40" s="13" t="str">
        <f t="shared" si="8"/>
        <v>Нет</v>
      </c>
      <c r="P40" s="17" t="s">
        <v>678</v>
      </c>
      <c r="Q40" s="13" t="str">
        <f t="shared" si="9"/>
        <v>Юриспруденция</v>
      </c>
      <c r="R40" s="13" t="str">
        <f t="shared" si="10"/>
        <v>Услуги</v>
      </c>
      <c r="S40" s="17" t="s">
        <v>650</v>
      </c>
      <c r="T40" s="17" t="str">
        <f t="shared" si="11"/>
        <v>С родителями</v>
      </c>
      <c r="U40" s="17" t="s">
        <v>651</v>
      </c>
      <c r="V40" s="17" t="s">
        <v>662</v>
      </c>
      <c r="W40" s="17" t="s">
        <v>663</v>
      </c>
      <c r="X40" s="17">
        <v>1500.0</v>
      </c>
      <c r="Y40" s="17" t="s">
        <v>651</v>
      </c>
      <c r="Z40" s="17" t="s">
        <v>651</v>
      </c>
      <c r="AA40" s="17" t="s">
        <v>654</v>
      </c>
      <c r="AB40" s="13" t="str">
        <f t="shared" si="12"/>
        <v>D</v>
      </c>
      <c r="AC40" s="17" t="s">
        <v>661</v>
      </c>
      <c r="AD40" s="17" t="s">
        <v>661</v>
      </c>
      <c r="AE40" s="17">
        <v>5.0</v>
      </c>
      <c r="AF40" s="17" t="s">
        <v>683</v>
      </c>
      <c r="AG40" s="13" t="str">
        <f t="shared" si="13"/>
        <v>Без ограничений</v>
      </c>
    </row>
    <row r="41">
      <c r="A41" s="12" t="str">
        <f t="shared" si="1"/>
        <v>040</v>
      </c>
      <c r="B41" s="17" t="s">
        <v>643</v>
      </c>
      <c r="C41" s="13">
        <v>49.0</v>
      </c>
      <c r="D41" s="17" t="s">
        <v>666</v>
      </c>
      <c r="E41" s="17" t="s">
        <v>645</v>
      </c>
      <c r="F41" s="18" t="s">
        <v>645</v>
      </c>
      <c r="G41" s="15" t="str">
        <f t="shared" si="2"/>
        <v>Beginner</v>
      </c>
      <c r="H41" s="16" t="str">
        <f t="shared" si="3"/>
        <v>Северный Казахстан</v>
      </c>
      <c r="I41" s="17" t="s">
        <v>673</v>
      </c>
      <c r="J41" s="13" t="str">
        <f t="shared" si="4"/>
        <v>Гражданин РК</v>
      </c>
      <c r="K41" s="17" t="s">
        <v>648</v>
      </c>
      <c r="L41" s="13">
        <f t="shared" si="5"/>
        <v>2</v>
      </c>
      <c r="M41" s="13" t="str">
        <f t="shared" si="6"/>
        <v>самозанятый</v>
      </c>
      <c r="N41" s="13" t="str">
        <f t="shared" si="7"/>
        <v>покупка авто</v>
      </c>
      <c r="O41" s="13" t="str">
        <f t="shared" si="8"/>
        <v>Да</v>
      </c>
      <c r="P41" s="17" t="s">
        <v>660</v>
      </c>
      <c r="Q41" s="13" t="str">
        <f t="shared" si="9"/>
        <v>Экономика</v>
      </c>
      <c r="R41" s="13" t="str">
        <f t="shared" si="10"/>
        <v>Торговля</v>
      </c>
      <c r="S41" s="17" t="s">
        <v>650</v>
      </c>
      <c r="T41" s="17" t="str">
        <f t="shared" si="11"/>
        <v>Собственное</v>
      </c>
      <c r="U41" s="17" t="s">
        <v>661</v>
      </c>
      <c r="V41" s="17" t="s">
        <v>675</v>
      </c>
      <c r="W41" s="17" t="s">
        <v>663</v>
      </c>
      <c r="X41" s="17">
        <v>4000.0</v>
      </c>
      <c r="Y41" s="17" t="s">
        <v>651</v>
      </c>
      <c r="Z41" s="17" t="s">
        <v>651</v>
      </c>
      <c r="AA41" s="17" t="s">
        <v>664</v>
      </c>
      <c r="AB41" s="13" t="str">
        <f t="shared" si="12"/>
        <v>B</v>
      </c>
      <c r="AC41" s="17" t="s">
        <v>655</v>
      </c>
      <c r="AD41" s="17" t="s">
        <v>661</v>
      </c>
      <c r="AE41" s="17">
        <v>5.0</v>
      </c>
      <c r="AF41" s="17" t="s">
        <v>689</v>
      </c>
      <c r="AG41" s="13" t="str">
        <f t="shared" si="13"/>
        <v>Зрение</v>
      </c>
    </row>
    <row r="42">
      <c r="A42" s="12" t="str">
        <f t="shared" si="1"/>
        <v>041</v>
      </c>
      <c r="B42" s="17" t="s">
        <v>643</v>
      </c>
      <c r="C42" s="13">
        <v>49.0</v>
      </c>
      <c r="D42" s="17" t="s">
        <v>666</v>
      </c>
      <c r="E42" s="17" t="s">
        <v>659</v>
      </c>
      <c r="F42" s="18" t="s">
        <v>659</v>
      </c>
      <c r="G42" s="15" t="str">
        <f t="shared" si="2"/>
        <v>Beginner</v>
      </c>
      <c r="H42" s="16" t="str">
        <f t="shared" si="3"/>
        <v>Центральный Казахстан</v>
      </c>
      <c r="I42" s="17" t="s">
        <v>673</v>
      </c>
      <c r="J42" s="13" t="str">
        <f t="shared" si="4"/>
        <v>Гражданин РК</v>
      </c>
      <c r="K42" s="17" t="s">
        <v>648</v>
      </c>
      <c r="L42" s="13">
        <f t="shared" si="5"/>
        <v>0</v>
      </c>
      <c r="M42" s="13" t="str">
        <f t="shared" si="6"/>
        <v>наемный работник</v>
      </c>
      <c r="N42" s="13" t="str">
        <f t="shared" si="7"/>
        <v>отпуск за границей</v>
      </c>
      <c r="O42" s="13" t="str">
        <f t="shared" si="8"/>
        <v>Да</v>
      </c>
      <c r="P42" s="17" t="s">
        <v>660</v>
      </c>
      <c r="Q42" s="13" t="str">
        <f t="shared" si="9"/>
        <v>Сервис</v>
      </c>
      <c r="R42" s="13" t="str">
        <f t="shared" si="10"/>
        <v>Услуги</v>
      </c>
      <c r="S42" s="17" t="s">
        <v>661</v>
      </c>
      <c r="T42" s="17" t="str">
        <f t="shared" si="11"/>
        <v>Аренда</v>
      </c>
      <c r="U42" s="17" t="s">
        <v>661</v>
      </c>
      <c r="V42" s="17" t="s">
        <v>652</v>
      </c>
      <c r="W42" s="17" t="s">
        <v>653</v>
      </c>
      <c r="X42" s="17">
        <v>2500.0</v>
      </c>
      <c r="Y42" s="17" t="s">
        <v>651</v>
      </c>
      <c r="Z42" s="17" t="s">
        <v>661</v>
      </c>
      <c r="AA42" s="17" t="s">
        <v>664</v>
      </c>
      <c r="AB42" s="13" t="str">
        <f t="shared" si="12"/>
        <v>B</v>
      </c>
      <c r="AC42" s="17" t="s">
        <v>661</v>
      </c>
      <c r="AD42" s="17" t="s">
        <v>661</v>
      </c>
      <c r="AE42" s="17">
        <v>9.0</v>
      </c>
      <c r="AF42" s="17" t="s">
        <v>679</v>
      </c>
      <c r="AG42" s="13" t="str">
        <f t="shared" si="13"/>
        <v>Без ограничений</v>
      </c>
    </row>
    <row r="43">
      <c r="A43" s="12" t="str">
        <f t="shared" si="1"/>
        <v>042</v>
      </c>
      <c r="B43" s="17" t="s">
        <v>643</v>
      </c>
      <c r="C43" s="13">
        <v>49.0</v>
      </c>
      <c r="D43" s="17" t="s">
        <v>644</v>
      </c>
      <c r="E43" s="17" t="s">
        <v>659</v>
      </c>
      <c r="F43" s="18" t="s">
        <v>659</v>
      </c>
      <c r="G43" s="15" t="str">
        <f t="shared" si="2"/>
        <v>Advanced</v>
      </c>
      <c r="H43" s="16" t="str">
        <f t="shared" si="3"/>
        <v>Южный Казахстан</v>
      </c>
      <c r="I43" s="17" t="s">
        <v>647</v>
      </c>
      <c r="J43" s="13" t="str">
        <f t="shared" si="4"/>
        <v>Гражданин РК</v>
      </c>
      <c r="K43" s="17" t="s">
        <v>681</v>
      </c>
      <c r="L43" s="13">
        <f t="shared" si="5"/>
        <v>3</v>
      </c>
      <c r="M43" s="13" t="str">
        <f t="shared" si="6"/>
        <v>безработный</v>
      </c>
      <c r="N43" s="13" t="str">
        <f t="shared" si="7"/>
        <v>поиск новой работы</v>
      </c>
      <c r="O43" s="13" t="str">
        <f t="shared" si="8"/>
        <v>Да</v>
      </c>
      <c r="P43" s="17" t="s">
        <v>678</v>
      </c>
      <c r="Q43" s="13" t="str">
        <f t="shared" si="9"/>
        <v>Строительство</v>
      </c>
      <c r="R43" s="13" t="str">
        <f t="shared" si="10"/>
        <v>Производство</v>
      </c>
      <c r="S43" s="17" t="s">
        <v>661</v>
      </c>
      <c r="T43" s="17" t="str">
        <f t="shared" si="11"/>
        <v>С родителями</v>
      </c>
      <c r="U43" s="17" t="s">
        <v>661</v>
      </c>
      <c r="V43" s="17" t="s">
        <v>662</v>
      </c>
      <c r="W43" s="17" t="s">
        <v>680</v>
      </c>
      <c r="X43" s="17">
        <v>1500.0</v>
      </c>
      <c r="Y43" s="17" t="s">
        <v>651</v>
      </c>
      <c r="Z43" s="17" t="s">
        <v>651</v>
      </c>
      <c r="AA43" s="17" t="s">
        <v>654</v>
      </c>
      <c r="AB43" s="13" t="str">
        <f t="shared" si="12"/>
        <v>B</v>
      </c>
      <c r="AC43" s="17" t="s">
        <v>655</v>
      </c>
      <c r="AD43" s="17" t="s">
        <v>661</v>
      </c>
      <c r="AE43" s="17">
        <v>9.0</v>
      </c>
      <c r="AF43" s="17" t="s">
        <v>689</v>
      </c>
      <c r="AG43" s="13" t="str">
        <f t="shared" si="13"/>
        <v>Без ограничений</v>
      </c>
    </row>
    <row r="44">
      <c r="A44" s="12" t="str">
        <f t="shared" si="1"/>
        <v>043</v>
      </c>
      <c r="B44" s="17" t="s">
        <v>643</v>
      </c>
      <c r="C44" s="13">
        <v>49.0</v>
      </c>
      <c r="D44" s="17" t="s">
        <v>666</v>
      </c>
      <c r="E44" s="17" t="s">
        <v>646</v>
      </c>
      <c r="F44" s="18" t="s">
        <v>659</v>
      </c>
      <c r="G44" s="15" t="str">
        <f t="shared" si="2"/>
        <v>Advanced</v>
      </c>
      <c r="H44" s="16" t="str">
        <f t="shared" si="3"/>
        <v>Восточный Казахстан</v>
      </c>
      <c r="I44" s="17" t="s">
        <v>647</v>
      </c>
      <c r="J44" s="13" t="str">
        <f t="shared" si="4"/>
        <v>Гражданин РК</v>
      </c>
      <c r="K44" s="17" t="s">
        <v>681</v>
      </c>
      <c r="L44" s="13">
        <f t="shared" si="5"/>
        <v>3</v>
      </c>
      <c r="M44" s="13" t="str">
        <f t="shared" si="6"/>
        <v>наемный работник</v>
      </c>
      <c r="N44" s="13" t="str">
        <f t="shared" si="7"/>
        <v>кредит</v>
      </c>
      <c r="O44" s="13" t="str">
        <f t="shared" si="8"/>
        <v>Только за счет компании</v>
      </c>
      <c r="P44" s="17" t="s">
        <v>649</v>
      </c>
      <c r="Q44" s="13" t="str">
        <f t="shared" si="9"/>
        <v>Юриспруденция</v>
      </c>
      <c r="R44" s="13" t="str">
        <f t="shared" si="10"/>
        <v>Услуги</v>
      </c>
      <c r="S44" s="17" t="s">
        <v>650</v>
      </c>
      <c r="T44" s="17" t="str">
        <f t="shared" si="11"/>
        <v>С родителями</v>
      </c>
      <c r="U44" s="17" t="s">
        <v>661</v>
      </c>
      <c r="V44" s="17" t="s">
        <v>662</v>
      </c>
      <c r="W44" s="17" t="s">
        <v>680</v>
      </c>
      <c r="X44" s="17">
        <v>2500.0</v>
      </c>
      <c r="Y44" s="17" t="s">
        <v>651</v>
      </c>
      <c r="Z44" s="17" t="s">
        <v>651</v>
      </c>
      <c r="AA44" s="17" t="s">
        <v>664</v>
      </c>
      <c r="AB44" s="13" t="str">
        <f t="shared" si="12"/>
        <v>C</v>
      </c>
      <c r="AC44" s="17" t="s">
        <v>661</v>
      </c>
      <c r="AD44" s="17" t="s">
        <v>656</v>
      </c>
      <c r="AE44" s="17">
        <v>9.0</v>
      </c>
      <c r="AF44" s="17" t="s">
        <v>665</v>
      </c>
      <c r="AG44" s="13" t="str">
        <f t="shared" si="13"/>
        <v>Аллергия</v>
      </c>
    </row>
    <row r="45">
      <c r="A45" s="12" t="str">
        <f t="shared" si="1"/>
        <v>044</v>
      </c>
      <c r="B45" s="17" t="s">
        <v>643</v>
      </c>
      <c r="C45" s="13">
        <v>49.0</v>
      </c>
      <c r="D45" s="17" t="s">
        <v>644</v>
      </c>
      <c r="E45" s="17" t="s">
        <v>646</v>
      </c>
      <c r="F45" s="18" t="s">
        <v>659</v>
      </c>
      <c r="G45" s="15" t="str">
        <f t="shared" si="2"/>
        <v>Intermediate</v>
      </c>
      <c r="H45" s="16" t="str">
        <f t="shared" si="3"/>
        <v>Южный Казахстан</v>
      </c>
      <c r="I45" s="17" t="s">
        <v>647</v>
      </c>
      <c r="J45" s="13" t="str">
        <f t="shared" si="4"/>
        <v>Гражданин РК</v>
      </c>
      <c r="K45" s="17" t="s">
        <v>681</v>
      </c>
      <c r="L45" s="13">
        <f t="shared" si="5"/>
        <v>1</v>
      </c>
      <c r="M45" s="13" t="str">
        <f t="shared" si="6"/>
        <v>наемный работник</v>
      </c>
      <c r="N45" s="13" t="str">
        <f t="shared" si="7"/>
        <v>отпуск за границей</v>
      </c>
      <c r="O45" s="13" t="str">
        <f t="shared" si="8"/>
        <v>Нет</v>
      </c>
      <c r="P45" s="17" t="s">
        <v>678</v>
      </c>
      <c r="Q45" s="13" t="str">
        <f t="shared" si="9"/>
        <v>Медицина</v>
      </c>
      <c r="R45" s="13" t="str">
        <f t="shared" si="10"/>
        <v>Здравоохранение</v>
      </c>
      <c r="S45" s="17" t="s">
        <v>661</v>
      </c>
      <c r="T45" s="17" t="str">
        <f t="shared" si="11"/>
        <v>Собственное</v>
      </c>
      <c r="U45" s="17" t="s">
        <v>651</v>
      </c>
      <c r="V45" s="17" t="s">
        <v>652</v>
      </c>
      <c r="W45" s="17" t="s">
        <v>670</v>
      </c>
      <c r="X45" s="17">
        <v>1500.0</v>
      </c>
      <c r="Y45" s="17" t="s">
        <v>651</v>
      </c>
      <c r="Z45" s="17" t="s">
        <v>651</v>
      </c>
      <c r="AA45" s="17" t="s">
        <v>676</v>
      </c>
      <c r="AB45" s="13" t="str">
        <f t="shared" si="12"/>
        <v>Нет</v>
      </c>
      <c r="AC45" s="17" t="s">
        <v>661</v>
      </c>
      <c r="AD45" s="17" t="s">
        <v>656</v>
      </c>
      <c r="AE45" s="17">
        <v>9.0</v>
      </c>
      <c r="AF45" s="17" t="s">
        <v>683</v>
      </c>
      <c r="AG45" s="13" t="str">
        <f t="shared" si="13"/>
        <v>Без ограничений</v>
      </c>
    </row>
    <row r="46">
      <c r="A46" s="12" t="str">
        <f t="shared" si="1"/>
        <v>045</v>
      </c>
      <c r="B46" s="17" t="s">
        <v>643</v>
      </c>
      <c r="C46" s="13">
        <v>49.0</v>
      </c>
      <c r="D46" s="17" t="s">
        <v>644</v>
      </c>
      <c r="E46" s="17" t="s">
        <v>645</v>
      </c>
      <c r="F46" s="18" t="s">
        <v>645</v>
      </c>
      <c r="G46" s="15" t="str">
        <f t="shared" si="2"/>
        <v>Advanced</v>
      </c>
      <c r="H46" s="16" t="str">
        <f t="shared" si="3"/>
        <v>Западный Казахстан</v>
      </c>
      <c r="I46" s="17" t="s">
        <v>667</v>
      </c>
      <c r="J46" s="13" t="str">
        <f t="shared" si="4"/>
        <v>Китай</v>
      </c>
      <c r="K46" s="17" t="s">
        <v>681</v>
      </c>
      <c r="L46" s="13">
        <f t="shared" si="5"/>
        <v>2</v>
      </c>
      <c r="M46" s="13" t="str">
        <f t="shared" si="6"/>
        <v>безработный</v>
      </c>
      <c r="N46" s="13" t="str">
        <f t="shared" si="7"/>
        <v>покупка авто</v>
      </c>
      <c r="O46" s="13" t="str">
        <f t="shared" si="8"/>
        <v>Нет</v>
      </c>
      <c r="P46" s="17" t="s">
        <v>685</v>
      </c>
      <c r="Q46" s="13" t="str">
        <f t="shared" si="9"/>
        <v>Сервис</v>
      </c>
      <c r="R46" s="13" t="str">
        <f t="shared" si="10"/>
        <v>Услуги</v>
      </c>
      <c r="S46" s="17" t="s">
        <v>661</v>
      </c>
      <c r="T46" s="17" t="str">
        <f t="shared" si="11"/>
        <v>Собственное</v>
      </c>
      <c r="U46" s="17" t="s">
        <v>661</v>
      </c>
      <c r="V46" s="17" t="s">
        <v>662</v>
      </c>
      <c r="W46" s="17" t="s">
        <v>682</v>
      </c>
      <c r="X46" s="17">
        <v>1000.0</v>
      </c>
      <c r="Y46" s="17" t="s">
        <v>651</v>
      </c>
      <c r="Z46" s="17" t="s">
        <v>661</v>
      </c>
      <c r="AA46" s="17" t="s">
        <v>654</v>
      </c>
      <c r="AB46" s="13" t="str">
        <f t="shared" si="12"/>
        <v>C</v>
      </c>
      <c r="AC46" s="17" t="s">
        <v>661</v>
      </c>
      <c r="AD46" s="17" t="s">
        <v>656</v>
      </c>
      <c r="AE46" s="17">
        <v>10.0</v>
      </c>
      <c r="AF46" s="17" t="s">
        <v>684</v>
      </c>
      <c r="AG46" s="13" t="str">
        <f t="shared" si="13"/>
        <v>Без ограничений</v>
      </c>
    </row>
    <row r="47">
      <c r="A47" s="12" t="str">
        <f t="shared" si="1"/>
        <v>046</v>
      </c>
      <c r="B47" s="17" t="s">
        <v>658</v>
      </c>
      <c r="C47" s="13">
        <v>49.0</v>
      </c>
      <c r="D47" s="17" t="s">
        <v>644</v>
      </c>
      <c r="E47" s="17" t="s">
        <v>645</v>
      </c>
      <c r="F47" s="18" t="s">
        <v>659</v>
      </c>
      <c r="G47" s="15" t="str">
        <f t="shared" si="2"/>
        <v>Intermediate</v>
      </c>
      <c r="H47" s="16" t="str">
        <f t="shared" si="3"/>
        <v>Северный Казахстан</v>
      </c>
      <c r="I47" s="17" t="s">
        <v>667</v>
      </c>
      <c r="J47" s="13" t="str">
        <f t="shared" si="4"/>
        <v>Гражданин РК</v>
      </c>
      <c r="K47" s="17" t="s">
        <v>668</v>
      </c>
      <c r="L47" s="13">
        <f t="shared" si="5"/>
        <v>0</v>
      </c>
      <c r="M47" s="13" t="str">
        <f t="shared" si="6"/>
        <v>безработный</v>
      </c>
      <c r="N47" s="13" t="str">
        <f t="shared" si="7"/>
        <v>свадьба</v>
      </c>
      <c r="O47" s="13" t="str">
        <f t="shared" si="8"/>
        <v>Да</v>
      </c>
      <c r="P47" s="17" t="s">
        <v>649</v>
      </c>
      <c r="Q47" s="13" t="str">
        <f t="shared" si="9"/>
        <v>IT</v>
      </c>
      <c r="R47" s="13" t="str">
        <f t="shared" si="10"/>
        <v>IT</v>
      </c>
      <c r="S47" s="17" t="s">
        <v>674</v>
      </c>
      <c r="T47" s="17" t="str">
        <f t="shared" si="11"/>
        <v>Собственное</v>
      </c>
      <c r="U47" s="17" t="s">
        <v>661</v>
      </c>
      <c r="V47" s="17" t="s">
        <v>662</v>
      </c>
      <c r="W47" s="17" t="s">
        <v>680</v>
      </c>
      <c r="X47" s="17">
        <v>1000.0</v>
      </c>
      <c r="Y47" s="17" t="s">
        <v>651</v>
      </c>
      <c r="Z47" s="17" t="s">
        <v>661</v>
      </c>
      <c r="AA47" s="17" t="s">
        <v>676</v>
      </c>
      <c r="AB47" s="13" t="str">
        <f t="shared" si="12"/>
        <v>B</v>
      </c>
      <c r="AC47" s="17" t="s">
        <v>655</v>
      </c>
      <c r="AD47" s="17" t="s">
        <v>671</v>
      </c>
      <c r="AE47" s="17">
        <v>8.0</v>
      </c>
      <c r="AF47" s="17" t="s">
        <v>683</v>
      </c>
      <c r="AG47" s="13" t="str">
        <f t="shared" si="13"/>
        <v>Зрение</v>
      </c>
    </row>
    <row r="48">
      <c r="A48" s="12" t="str">
        <f t="shared" si="1"/>
        <v>047</v>
      </c>
      <c r="B48" s="17" t="s">
        <v>643</v>
      </c>
      <c r="C48" s="13">
        <v>49.0</v>
      </c>
      <c r="D48" s="17" t="s">
        <v>644</v>
      </c>
      <c r="E48" s="17" t="s">
        <v>646</v>
      </c>
      <c r="F48" s="18" t="s">
        <v>659</v>
      </c>
      <c r="G48" s="15" t="str">
        <f t="shared" si="2"/>
        <v>Beginner</v>
      </c>
      <c r="H48" s="16" t="str">
        <f t="shared" si="3"/>
        <v>Центральный Казахстан</v>
      </c>
      <c r="I48" s="17" t="s">
        <v>673</v>
      </c>
      <c r="J48" s="13" t="str">
        <f t="shared" si="4"/>
        <v>Гражданин РК</v>
      </c>
      <c r="K48" s="17" t="s">
        <v>681</v>
      </c>
      <c r="L48" s="13">
        <f t="shared" si="5"/>
        <v>1</v>
      </c>
      <c r="M48" s="13" t="str">
        <f t="shared" si="6"/>
        <v>безработный</v>
      </c>
      <c r="N48" s="13" t="str">
        <f t="shared" si="7"/>
        <v>покупка авто</v>
      </c>
      <c r="O48" s="13" t="str">
        <f t="shared" si="8"/>
        <v>Да</v>
      </c>
      <c r="P48" s="17" t="s">
        <v>649</v>
      </c>
      <c r="Q48" s="13" t="str">
        <f t="shared" si="9"/>
        <v>Медицина</v>
      </c>
      <c r="R48" s="13" t="str">
        <f t="shared" si="10"/>
        <v>Здравоохранение</v>
      </c>
      <c r="S48" s="17" t="s">
        <v>661</v>
      </c>
      <c r="T48" s="17" t="str">
        <f t="shared" si="11"/>
        <v>Аренда</v>
      </c>
      <c r="U48" s="17" t="s">
        <v>651</v>
      </c>
      <c r="V48" s="17" t="s">
        <v>662</v>
      </c>
      <c r="W48" s="17" t="s">
        <v>682</v>
      </c>
      <c r="X48" s="17">
        <v>800.0</v>
      </c>
      <c r="Y48" s="17" t="s">
        <v>651</v>
      </c>
      <c r="Z48" s="17" t="s">
        <v>661</v>
      </c>
      <c r="AA48" s="17" t="s">
        <v>676</v>
      </c>
      <c r="AB48" s="13" t="str">
        <f t="shared" si="12"/>
        <v>B</v>
      </c>
      <c r="AC48" s="17" t="s">
        <v>655</v>
      </c>
      <c r="AD48" s="17" t="s">
        <v>671</v>
      </c>
      <c r="AE48" s="17">
        <v>10.0</v>
      </c>
      <c r="AF48" s="17" t="s">
        <v>687</v>
      </c>
      <c r="AG48" s="13" t="str">
        <f t="shared" si="13"/>
        <v>Зрение</v>
      </c>
    </row>
    <row r="49">
      <c r="A49" s="12" t="str">
        <f t="shared" si="1"/>
        <v>048</v>
      </c>
      <c r="B49" s="17" t="s">
        <v>643</v>
      </c>
      <c r="C49" s="13">
        <v>49.0</v>
      </c>
      <c r="D49" s="17" t="s">
        <v>644</v>
      </c>
      <c r="E49" s="17" t="s">
        <v>646</v>
      </c>
      <c r="F49" s="18" t="s">
        <v>659</v>
      </c>
      <c r="G49" s="15" t="str">
        <f t="shared" si="2"/>
        <v>Beginner</v>
      </c>
      <c r="H49" s="16" t="str">
        <f t="shared" si="3"/>
        <v>Северный Казахстан</v>
      </c>
      <c r="I49" s="17" t="s">
        <v>673</v>
      </c>
      <c r="J49" s="13" t="str">
        <f t="shared" si="4"/>
        <v>Гражданин РК</v>
      </c>
      <c r="K49" s="17" t="s">
        <v>648</v>
      </c>
      <c r="L49" s="13">
        <f t="shared" si="5"/>
        <v>3</v>
      </c>
      <c r="M49" s="13" t="str">
        <f t="shared" si="6"/>
        <v>безработный</v>
      </c>
      <c r="N49" s="13" t="str">
        <f t="shared" si="7"/>
        <v>повышение квалификации</v>
      </c>
      <c r="O49" s="13" t="str">
        <f t="shared" si="8"/>
        <v>Нет</v>
      </c>
      <c r="P49" s="17" t="s">
        <v>669</v>
      </c>
      <c r="Q49" s="13" t="str">
        <f t="shared" si="9"/>
        <v>Медицина</v>
      </c>
      <c r="R49" s="13" t="str">
        <f t="shared" si="10"/>
        <v>Здравоохранение</v>
      </c>
      <c r="S49" s="17" t="s">
        <v>661</v>
      </c>
      <c r="T49" s="17" t="str">
        <f t="shared" si="11"/>
        <v>Аренда</v>
      </c>
      <c r="U49" s="17" t="s">
        <v>661</v>
      </c>
      <c r="V49" s="17" t="s">
        <v>652</v>
      </c>
      <c r="W49" s="17" t="s">
        <v>670</v>
      </c>
      <c r="X49" s="17">
        <v>800.0</v>
      </c>
      <c r="Y49" s="17" t="s">
        <v>651</v>
      </c>
      <c r="Z49" s="17" t="s">
        <v>651</v>
      </c>
      <c r="AA49" s="17" t="s">
        <v>654</v>
      </c>
      <c r="AB49" s="13" t="str">
        <f t="shared" si="12"/>
        <v>B</v>
      </c>
      <c r="AC49" s="17" t="s">
        <v>655</v>
      </c>
      <c r="AD49" s="17" t="s">
        <v>671</v>
      </c>
      <c r="AE49" s="17">
        <v>4.0</v>
      </c>
      <c r="AF49" s="17" t="s">
        <v>679</v>
      </c>
      <c r="AG49" s="13" t="str">
        <f t="shared" si="13"/>
        <v>Без ограничений</v>
      </c>
    </row>
    <row r="50">
      <c r="A50" s="12" t="str">
        <f t="shared" si="1"/>
        <v>049</v>
      </c>
      <c r="B50" s="17" t="s">
        <v>658</v>
      </c>
      <c r="C50" s="13">
        <v>49.0</v>
      </c>
      <c r="D50" s="17" t="s">
        <v>644</v>
      </c>
      <c r="E50" s="17" t="s">
        <v>659</v>
      </c>
      <c r="F50" s="18" t="s">
        <v>646</v>
      </c>
      <c r="G50" s="15" t="str">
        <f t="shared" si="2"/>
        <v>No</v>
      </c>
      <c r="H50" s="16" t="str">
        <f t="shared" si="3"/>
        <v>Северный Казахстан</v>
      </c>
      <c r="I50" s="17" t="s">
        <v>667</v>
      </c>
      <c r="J50" s="13" t="str">
        <f t="shared" si="4"/>
        <v>Гражданин РК</v>
      </c>
      <c r="K50" s="17" t="s">
        <v>681</v>
      </c>
      <c r="L50" s="13">
        <f t="shared" si="5"/>
        <v>3</v>
      </c>
      <c r="M50" s="13" t="str">
        <f t="shared" si="6"/>
        <v>самозанятый</v>
      </c>
      <c r="N50" s="13" t="str">
        <f t="shared" si="7"/>
        <v>переезд</v>
      </c>
      <c r="O50" s="13" t="str">
        <f t="shared" si="8"/>
        <v>Нет</v>
      </c>
      <c r="P50" s="17" t="s">
        <v>685</v>
      </c>
      <c r="Q50" s="13" t="str">
        <f t="shared" si="9"/>
        <v>Логистика</v>
      </c>
      <c r="R50" s="13" t="str">
        <f t="shared" si="10"/>
        <v>Транспорт</v>
      </c>
      <c r="S50" s="17" t="s">
        <v>650</v>
      </c>
      <c r="T50" s="17" t="str">
        <f t="shared" si="11"/>
        <v>Собственное</v>
      </c>
      <c r="U50" s="17" t="s">
        <v>651</v>
      </c>
      <c r="V50" s="17" t="s">
        <v>652</v>
      </c>
      <c r="W50" s="17" t="s">
        <v>680</v>
      </c>
      <c r="X50" s="17">
        <v>800.0</v>
      </c>
      <c r="Y50" s="17" t="s">
        <v>651</v>
      </c>
      <c r="Z50" s="17" t="s">
        <v>661</v>
      </c>
      <c r="AA50" s="17" t="s">
        <v>664</v>
      </c>
      <c r="AB50" s="13" t="str">
        <f t="shared" si="12"/>
        <v>B</v>
      </c>
      <c r="AC50" s="17" t="s">
        <v>655</v>
      </c>
      <c r="AD50" s="17" t="s">
        <v>677</v>
      </c>
      <c r="AE50" s="17">
        <v>3.0</v>
      </c>
      <c r="AF50" s="17" t="s">
        <v>689</v>
      </c>
      <c r="AG50" s="13" t="str">
        <f t="shared" si="13"/>
        <v>Без ограничений</v>
      </c>
    </row>
    <row r="51">
      <c r="A51" s="12" t="str">
        <f t="shared" si="1"/>
        <v>050</v>
      </c>
      <c r="B51" s="17" t="s">
        <v>658</v>
      </c>
      <c r="C51" s="13">
        <v>49.0</v>
      </c>
      <c r="D51" s="17" t="s">
        <v>666</v>
      </c>
      <c r="E51" s="17" t="s">
        <v>659</v>
      </c>
      <c r="F51" s="18" t="s">
        <v>646</v>
      </c>
      <c r="G51" s="15" t="str">
        <f t="shared" si="2"/>
        <v>No</v>
      </c>
      <c r="H51" s="16" t="str">
        <f t="shared" si="3"/>
        <v>Восточный Казахстан</v>
      </c>
      <c r="I51" s="17" t="s">
        <v>673</v>
      </c>
      <c r="J51" s="13" t="str">
        <f t="shared" si="4"/>
        <v>Гражданин РК</v>
      </c>
      <c r="K51" s="17" t="s">
        <v>668</v>
      </c>
      <c r="L51" s="13">
        <f t="shared" si="5"/>
        <v>0</v>
      </c>
      <c r="M51" s="13" t="str">
        <f t="shared" si="6"/>
        <v>безработный</v>
      </c>
      <c r="N51" s="13" t="str">
        <f t="shared" si="7"/>
        <v>свадьба</v>
      </c>
      <c r="O51" s="13" t="str">
        <f t="shared" si="8"/>
        <v>Нет</v>
      </c>
      <c r="P51" s="17" t="s">
        <v>669</v>
      </c>
      <c r="Q51" s="13" t="str">
        <f t="shared" si="9"/>
        <v>IT</v>
      </c>
      <c r="R51" s="13" t="str">
        <f t="shared" si="10"/>
        <v>IT</v>
      </c>
      <c r="S51" s="17" t="s">
        <v>650</v>
      </c>
      <c r="T51" s="17" t="str">
        <f t="shared" si="11"/>
        <v>Собственное</v>
      </c>
      <c r="U51" s="17" t="s">
        <v>661</v>
      </c>
      <c r="V51" s="17" t="s">
        <v>675</v>
      </c>
      <c r="W51" s="17" t="s">
        <v>653</v>
      </c>
      <c r="X51" s="17">
        <v>4000.0</v>
      </c>
      <c r="Y51" s="17" t="s">
        <v>651</v>
      </c>
      <c r="Z51" s="17" t="s">
        <v>661</v>
      </c>
      <c r="AA51" s="17" t="s">
        <v>664</v>
      </c>
      <c r="AB51" s="13" t="str">
        <f t="shared" si="12"/>
        <v>B</v>
      </c>
      <c r="AC51" s="17" t="s">
        <v>661</v>
      </c>
      <c r="AD51" s="17" t="s">
        <v>661</v>
      </c>
      <c r="AE51" s="17">
        <v>7.0</v>
      </c>
      <c r="AF51" s="17" t="s">
        <v>679</v>
      </c>
      <c r="AG51" s="13" t="str">
        <f t="shared" si="13"/>
        <v>Без ограничений</v>
      </c>
    </row>
    <row r="52">
      <c r="A52" s="12" t="str">
        <f t="shared" si="1"/>
        <v>051</v>
      </c>
      <c r="B52" s="17" t="s">
        <v>658</v>
      </c>
      <c r="C52" s="13">
        <v>49.0</v>
      </c>
      <c r="D52" s="17" t="s">
        <v>644</v>
      </c>
      <c r="E52" s="17" t="s">
        <v>646</v>
      </c>
      <c r="F52" s="18" t="s">
        <v>646</v>
      </c>
      <c r="G52" s="15" t="str">
        <f t="shared" si="2"/>
        <v>Advanced</v>
      </c>
      <c r="H52" s="16" t="str">
        <f t="shared" si="3"/>
        <v>Северный Казахстан</v>
      </c>
      <c r="I52" s="17" t="s">
        <v>667</v>
      </c>
      <c r="J52" s="13" t="str">
        <f t="shared" si="4"/>
        <v>Гражданин РК</v>
      </c>
      <c r="K52" s="17" t="s">
        <v>681</v>
      </c>
      <c r="L52" s="13">
        <f t="shared" si="5"/>
        <v>0</v>
      </c>
      <c r="M52" s="13" t="str">
        <f t="shared" si="6"/>
        <v>наемный работник</v>
      </c>
      <c r="N52" s="13" t="str">
        <f t="shared" si="7"/>
        <v>рождение ребенка</v>
      </c>
      <c r="O52" s="13" t="str">
        <f t="shared" si="8"/>
        <v>Нет</v>
      </c>
      <c r="P52" s="17" t="s">
        <v>669</v>
      </c>
      <c r="Q52" s="13" t="str">
        <f t="shared" si="9"/>
        <v>Маркетинг</v>
      </c>
      <c r="R52" s="13" t="str">
        <f t="shared" si="10"/>
        <v>Торговля</v>
      </c>
      <c r="S52" s="17" t="s">
        <v>674</v>
      </c>
      <c r="T52" s="17" t="str">
        <f t="shared" si="11"/>
        <v>С родителями</v>
      </c>
      <c r="U52" s="17" t="s">
        <v>651</v>
      </c>
      <c r="V52" s="17" t="s">
        <v>662</v>
      </c>
      <c r="W52" s="17" t="s">
        <v>663</v>
      </c>
      <c r="X52" s="17">
        <v>4000.0</v>
      </c>
      <c r="Y52" s="17" t="s">
        <v>651</v>
      </c>
      <c r="Z52" s="17" t="s">
        <v>651</v>
      </c>
      <c r="AA52" s="17" t="s">
        <v>664</v>
      </c>
      <c r="AB52" s="13" t="str">
        <f t="shared" si="12"/>
        <v>B, C</v>
      </c>
      <c r="AC52" s="17" t="s">
        <v>655</v>
      </c>
      <c r="AD52" s="17" t="s">
        <v>677</v>
      </c>
      <c r="AE52" s="17">
        <v>9.0</v>
      </c>
      <c r="AF52" s="17" t="s">
        <v>665</v>
      </c>
      <c r="AG52" s="13" t="str">
        <f t="shared" si="13"/>
        <v>Без ограничений</v>
      </c>
    </row>
    <row r="53">
      <c r="A53" s="12" t="str">
        <f t="shared" si="1"/>
        <v>052</v>
      </c>
      <c r="B53" s="17" t="s">
        <v>643</v>
      </c>
      <c r="C53" s="13">
        <v>49.0</v>
      </c>
      <c r="D53" s="17" t="s">
        <v>644</v>
      </c>
      <c r="E53" s="17" t="s">
        <v>659</v>
      </c>
      <c r="F53" s="18" t="s">
        <v>645</v>
      </c>
      <c r="G53" s="15" t="str">
        <f t="shared" si="2"/>
        <v>Intermediate</v>
      </c>
      <c r="H53" s="16" t="str">
        <f t="shared" si="3"/>
        <v>Южный Казахстан</v>
      </c>
      <c r="I53" s="17" t="s">
        <v>667</v>
      </c>
      <c r="J53" s="13" t="str">
        <f t="shared" si="4"/>
        <v>Гражданин РК</v>
      </c>
      <c r="K53" s="17" t="s">
        <v>648</v>
      </c>
      <c r="L53" s="13">
        <f t="shared" si="5"/>
        <v>1</v>
      </c>
      <c r="M53" s="13" t="str">
        <f t="shared" si="6"/>
        <v>самозанятый</v>
      </c>
      <c r="N53" s="13" t="str">
        <f t="shared" si="7"/>
        <v>переезд</v>
      </c>
      <c r="O53" s="13" t="str">
        <f t="shared" si="8"/>
        <v>Да</v>
      </c>
      <c r="P53" s="17" t="s">
        <v>660</v>
      </c>
      <c r="Q53" s="13" t="str">
        <f t="shared" si="9"/>
        <v>Медицина</v>
      </c>
      <c r="R53" s="13" t="str">
        <f t="shared" si="10"/>
        <v>Здравоохранение</v>
      </c>
      <c r="S53" s="17" t="s">
        <v>674</v>
      </c>
      <c r="T53" s="17" t="str">
        <f t="shared" si="11"/>
        <v>С родителями</v>
      </c>
      <c r="U53" s="17" t="s">
        <v>661</v>
      </c>
      <c r="V53" s="17" t="s">
        <v>652</v>
      </c>
      <c r="W53" s="17" t="s">
        <v>682</v>
      </c>
      <c r="X53" s="17">
        <v>2500.0</v>
      </c>
      <c r="Y53" s="17" t="s">
        <v>651</v>
      </c>
      <c r="Z53" s="17" t="s">
        <v>661</v>
      </c>
      <c r="AA53" s="17" t="s">
        <v>676</v>
      </c>
      <c r="AB53" s="13" t="str">
        <f t="shared" si="12"/>
        <v>B</v>
      </c>
      <c r="AC53" s="17" t="s">
        <v>655</v>
      </c>
      <c r="AD53" s="17" t="s">
        <v>661</v>
      </c>
      <c r="AE53" s="17">
        <v>5.0</v>
      </c>
      <c r="AF53" s="17" t="s">
        <v>672</v>
      </c>
      <c r="AG53" s="13" t="str">
        <f t="shared" si="13"/>
        <v>Зрение</v>
      </c>
    </row>
    <row r="54">
      <c r="A54" s="12" t="str">
        <f t="shared" si="1"/>
        <v>053</v>
      </c>
      <c r="B54" s="17" t="s">
        <v>643</v>
      </c>
      <c r="C54" s="13">
        <v>49.0</v>
      </c>
      <c r="D54" s="17" t="s">
        <v>644</v>
      </c>
      <c r="E54" s="17" t="s">
        <v>645</v>
      </c>
      <c r="F54" s="18" t="s">
        <v>659</v>
      </c>
      <c r="G54" s="15" t="str">
        <f t="shared" si="2"/>
        <v>Intermediate</v>
      </c>
      <c r="H54" s="16" t="str">
        <f t="shared" si="3"/>
        <v>Северный Казахстан</v>
      </c>
      <c r="I54" s="17" t="s">
        <v>647</v>
      </c>
      <c r="J54" s="13" t="str">
        <f t="shared" si="4"/>
        <v>Гражданин РК</v>
      </c>
      <c r="K54" s="17" t="s">
        <v>681</v>
      </c>
      <c r="L54" s="13">
        <f t="shared" si="5"/>
        <v>4</v>
      </c>
      <c r="M54" s="13" t="str">
        <f t="shared" si="6"/>
        <v>самозанятый</v>
      </c>
      <c r="N54" s="13" t="str">
        <f t="shared" si="7"/>
        <v>поиск новой работы</v>
      </c>
      <c r="O54" s="13" t="str">
        <f t="shared" si="8"/>
        <v>Только за счет компании</v>
      </c>
      <c r="P54" s="17" t="s">
        <v>685</v>
      </c>
      <c r="Q54" s="13" t="str">
        <f t="shared" si="9"/>
        <v>Сервис</v>
      </c>
      <c r="R54" s="13" t="str">
        <f t="shared" si="10"/>
        <v>Услуги</v>
      </c>
      <c r="S54" s="17" t="s">
        <v>661</v>
      </c>
      <c r="T54" s="17" t="str">
        <f t="shared" si="11"/>
        <v>Собственное</v>
      </c>
      <c r="U54" s="17" t="s">
        <v>661</v>
      </c>
      <c r="V54" s="17" t="s">
        <v>652</v>
      </c>
      <c r="W54" s="17" t="s">
        <v>653</v>
      </c>
      <c r="X54" s="17">
        <v>1000.0</v>
      </c>
      <c r="Y54" s="17" t="s">
        <v>651</v>
      </c>
      <c r="Z54" s="17" t="s">
        <v>661</v>
      </c>
      <c r="AA54" s="17" t="s">
        <v>676</v>
      </c>
      <c r="AB54" s="13" t="str">
        <f t="shared" si="12"/>
        <v>C</v>
      </c>
      <c r="AC54" s="17" t="s">
        <v>661</v>
      </c>
      <c r="AD54" s="17" t="s">
        <v>671</v>
      </c>
      <c r="AE54" s="17">
        <v>5.0</v>
      </c>
      <c r="AF54" s="17" t="s">
        <v>687</v>
      </c>
      <c r="AG54" s="13" t="str">
        <f t="shared" si="13"/>
        <v>Без ограничений</v>
      </c>
    </row>
    <row r="55">
      <c r="A55" s="12" t="str">
        <f t="shared" si="1"/>
        <v>054</v>
      </c>
      <c r="B55" s="17" t="s">
        <v>658</v>
      </c>
      <c r="C55" s="13">
        <v>49.0</v>
      </c>
      <c r="D55" s="17" t="s">
        <v>666</v>
      </c>
      <c r="E55" s="17" t="s">
        <v>659</v>
      </c>
      <c r="F55" s="18" t="s">
        <v>646</v>
      </c>
      <c r="G55" s="15" t="str">
        <f t="shared" si="2"/>
        <v>Advanced</v>
      </c>
      <c r="H55" s="16" t="str">
        <f t="shared" si="3"/>
        <v>Северный Казахстан</v>
      </c>
      <c r="I55" s="17" t="s">
        <v>673</v>
      </c>
      <c r="J55" s="13" t="str">
        <f t="shared" si="4"/>
        <v>Таджикистан</v>
      </c>
      <c r="K55" s="17" t="s">
        <v>648</v>
      </c>
      <c r="L55" s="13">
        <f t="shared" si="5"/>
        <v>1</v>
      </c>
      <c r="M55" s="13" t="str">
        <f t="shared" si="6"/>
        <v>самозанятый</v>
      </c>
      <c r="N55" s="13" t="str">
        <f t="shared" si="7"/>
        <v>отпуск за границей</v>
      </c>
      <c r="O55" s="13" t="str">
        <f t="shared" si="8"/>
        <v>Нет</v>
      </c>
      <c r="P55" s="17" t="s">
        <v>678</v>
      </c>
      <c r="Q55" s="13" t="str">
        <f t="shared" si="9"/>
        <v>Педагогика</v>
      </c>
      <c r="R55" s="13" t="str">
        <f t="shared" si="10"/>
        <v>Образование</v>
      </c>
      <c r="S55" s="17" t="s">
        <v>674</v>
      </c>
      <c r="T55" s="17" t="str">
        <f t="shared" si="11"/>
        <v>С родителями</v>
      </c>
      <c r="U55" s="17" t="s">
        <v>661</v>
      </c>
      <c r="V55" s="17" t="s">
        <v>652</v>
      </c>
      <c r="W55" s="17" t="s">
        <v>663</v>
      </c>
      <c r="X55" s="17">
        <v>4000.0</v>
      </c>
      <c r="Y55" s="17" t="s">
        <v>651</v>
      </c>
      <c r="Z55" s="17" t="s">
        <v>661</v>
      </c>
      <c r="AA55" s="17" t="s">
        <v>676</v>
      </c>
      <c r="AB55" s="13" t="str">
        <f t="shared" si="12"/>
        <v>Нет</v>
      </c>
      <c r="AC55" s="17" t="s">
        <v>661</v>
      </c>
      <c r="AD55" s="17" t="s">
        <v>656</v>
      </c>
      <c r="AE55" s="17">
        <v>10.0</v>
      </c>
      <c r="AF55" s="17" t="s">
        <v>683</v>
      </c>
      <c r="AG55" s="13" t="str">
        <f t="shared" si="13"/>
        <v>Без ограничений</v>
      </c>
    </row>
    <row r="56">
      <c r="A56" s="12" t="str">
        <f t="shared" si="1"/>
        <v>055</v>
      </c>
      <c r="B56" s="17" t="s">
        <v>643</v>
      </c>
      <c r="C56" s="13">
        <v>49.0</v>
      </c>
      <c r="D56" s="17" t="s">
        <v>644</v>
      </c>
      <c r="E56" s="17" t="s">
        <v>646</v>
      </c>
      <c r="F56" s="18" t="s">
        <v>645</v>
      </c>
      <c r="G56" s="15" t="str">
        <f t="shared" si="2"/>
        <v>Advanced</v>
      </c>
      <c r="H56" s="16" t="str">
        <f t="shared" si="3"/>
        <v>Северный Казахстан</v>
      </c>
      <c r="I56" s="17" t="s">
        <v>667</v>
      </c>
      <c r="J56" s="13" t="str">
        <f t="shared" si="4"/>
        <v>Гражданин РК</v>
      </c>
      <c r="K56" s="17" t="s">
        <v>648</v>
      </c>
      <c r="L56" s="13">
        <f t="shared" si="5"/>
        <v>0</v>
      </c>
      <c r="M56" s="13" t="str">
        <f t="shared" si="6"/>
        <v>наемный работник</v>
      </c>
      <c r="N56" s="13" t="str">
        <f t="shared" si="7"/>
        <v>поиск новой работы</v>
      </c>
      <c r="O56" s="13" t="str">
        <f t="shared" si="8"/>
        <v>Нет</v>
      </c>
      <c r="P56" s="17" t="s">
        <v>649</v>
      </c>
      <c r="Q56" s="13" t="str">
        <f t="shared" si="9"/>
        <v>Экономика</v>
      </c>
      <c r="R56" s="13" t="str">
        <f t="shared" si="10"/>
        <v>Торговля</v>
      </c>
      <c r="S56" s="17" t="s">
        <v>674</v>
      </c>
      <c r="T56" s="17" t="str">
        <f t="shared" si="11"/>
        <v>Аренда</v>
      </c>
      <c r="U56" s="17" t="s">
        <v>651</v>
      </c>
      <c r="V56" s="17" t="s">
        <v>675</v>
      </c>
      <c r="W56" s="17" t="s">
        <v>682</v>
      </c>
      <c r="X56" s="17">
        <v>1000.0</v>
      </c>
      <c r="Y56" s="17" t="s">
        <v>651</v>
      </c>
      <c r="Z56" s="17" t="s">
        <v>651</v>
      </c>
      <c r="AA56" s="17" t="s">
        <v>664</v>
      </c>
      <c r="AB56" s="13" t="str">
        <f t="shared" si="12"/>
        <v>A</v>
      </c>
      <c r="AC56" s="17" t="s">
        <v>661</v>
      </c>
      <c r="AD56" s="17" t="s">
        <v>677</v>
      </c>
      <c r="AE56" s="17">
        <v>7.0</v>
      </c>
      <c r="AF56" s="17" t="s">
        <v>687</v>
      </c>
      <c r="AG56" s="13" t="str">
        <f t="shared" si="13"/>
        <v>Без ограничений</v>
      </c>
    </row>
    <row r="57">
      <c r="A57" s="12" t="str">
        <f t="shared" si="1"/>
        <v>056</v>
      </c>
      <c r="B57" s="17" t="s">
        <v>643</v>
      </c>
      <c r="C57" s="13">
        <v>49.0</v>
      </c>
      <c r="D57" s="17" t="s">
        <v>666</v>
      </c>
      <c r="E57" s="17" t="s">
        <v>645</v>
      </c>
      <c r="F57" s="18" t="s">
        <v>659</v>
      </c>
      <c r="G57" s="15" t="str">
        <f t="shared" si="2"/>
        <v>No</v>
      </c>
      <c r="H57" s="16" t="str">
        <f t="shared" si="3"/>
        <v>Северный Казахстан</v>
      </c>
      <c r="I57" s="17" t="s">
        <v>647</v>
      </c>
      <c r="J57" s="13" t="str">
        <f t="shared" si="4"/>
        <v>Гражданин РК</v>
      </c>
      <c r="K57" s="17" t="s">
        <v>648</v>
      </c>
      <c r="L57" s="13">
        <f t="shared" si="5"/>
        <v>2</v>
      </c>
      <c r="M57" s="13" t="str">
        <f t="shared" si="6"/>
        <v>безработный</v>
      </c>
      <c r="N57" s="13" t="str">
        <f t="shared" si="7"/>
        <v>отпуск за границей</v>
      </c>
      <c r="O57" s="13" t="str">
        <f t="shared" si="8"/>
        <v>Нет</v>
      </c>
      <c r="P57" s="17" t="s">
        <v>649</v>
      </c>
      <c r="Q57" s="13" t="str">
        <f t="shared" si="9"/>
        <v>Логистика</v>
      </c>
      <c r="R57" s="13" t="str">
        <f t="shared" si="10"/>
        <v>Транспорт</v>
      </c>
      <c r="S57" s="17" t="s">
        <v>674</v>
      </c>
      <c r="T57" s="17" t="str">
        <f t="shared" si="11"/>
        <v>Собственное</v>
      </c>
      <c r="U57" s="17" t="s">
        <v>661</v>
      </c>
      <c r="V57" s="17" t="s">
        <v>662</v>
      </c>
      <c r="W57" s="17" t="s">
        <v>670</v>
      </c>
      <c r="X57" s="17">
        <v>4000.0</v>
      </c>
      <c r="Y57" s="17" t="s">
        <v>651</v>
      </c>
      <c r="Z57" s="17" t="s">
        <v>651</v>
      </c>
      <c r="AA57" s="17" t="s">
        <v>664</v>
      </c>
      <c r="AB57" s="13" t="str">
        <f t="shared" si="12"/>
        <v>Нет</v>
      </c>
      <c r="AC57" s="17" t="s">
        <v>661</v>
      </c>
      <c r="AD57" s="17" t="s">
        <v>677</v>
      </c>
      <c r="AE57" s="17">
        <v>8.0</v>
      </c>
      <c r="AF57" s="17" t="s">
        <v>672</v>
      </c>
      <c r="AG57" s="13" t="str">
        <f t="shared" si="13"/>
        <v>Аллергия</v>
      </c>
    </row>
    <row r="58">
      <c r="A58" s="12" t="str">
        <f t="shared" si="1"/>
        <v>057</v>
      </c>
      <c r="B58" s="17" t="s">
        <v>658</v>
      </c>
      <c r="C58" s="13">
        <v>49.0</v>
      </c>
      <c r="D58" s="17" t="s">
        <v>666</v>
      </c>
      <c r="E58" s="17" t="s">
        <v>645</v>
      </c>
      <c r="F58" s="18" t="s">
        <v>659</v>
      </c>
      <c r="G58" s="15" t="str">
        <f t="shared" si="2"/>
        <v>Beginner</v>
      </c>
      <c r="H58" s="16" t="str">
        <f t="shared" si="3"/>
        <v>Западный Казахстан</v>
      </c>
      <c r="I58" s="17" t="s">
        <v>667</v>
      </c>
      <c r="J58" s="13" t="str">
        <f t="shared" si="4"/>
        <v>Гражданин РК</v>
      </c>
      <c r="K58" s="17" t="s">
        <v>681</v>
      </c>
      <c r="L58" s="13">
        <f t="shared" si="5"/>
        <v>0</v>
      </c>
      <c r="M58" s="13" t="str">
        <f t="shared" si="6"/>
        <v>самозанятый</v>
      </c>
      <c r="N58" s="13" t="str">
        <f t="shared" si="7"/>
        <v>переезд</v>
      </c>
      <c r="O58" s="13" t="str">
        <f t="shared" si="8"/>
        <v>Нет</v>
      </c>
      <c r="P58" s="17" t="s">
        <v>678</v>
      </c>
      <c r="Q58" s="13" t="str">
        <f t="shared" si="9"/>
        <v>Юриспруденция</v>
      </c>
      <c r="R58" s="13" t="str">
        <f t="shared" si="10"/>
        <v>Услуги</v>
      </c>
      <c r="S58" s="17" t="s">
        <v>674</v>
      </c>
      <c r="T58" s="17" t="str">
        <f t="shared" si="11"/>
        <v>Собственное</v>
      </c>
      <c r="U58" s="17" t="s">
        <v>651</v>
      </c>
      <c r="V58" s="17" t="s">
        <v>662</v>
      </c>
      <c r="W58" s="17" t="s">
        <v>670</v>
      </c>
      <c r="X58" s="17">
        <v>4000.0</v>
      </c>
      <c r="Y58" s="17" t="s">
        <v>651</v>
      </c>
      <c r="Z58" s="17" t="s">
        <v>661</v>
      </c>
      <c r="AA58" s="17" t="s">
        <v>676</v>
      </c>
      <c r="AB58" s="13" t="str">
        <f t="shared" si="12"/>
        <v>B, C</v>
      </c>
      <c r="AC58" s="17" t="s">
        <v>655</v>
      </c>
      <c r="AD58" s="17" t="s">
        <v>677</v>
      </c>
      <c r="AE58" s="17">
        <v>8.0</v>
      </c>
      <c r="AF58" s="17" t="s">
        <v>665</v>
      </c>
      <c r="AG58" s="13" t="str">
        <f t="shared" si="13"/>
        <v>Без ограничений</v>
      </c>
    </row>
    <row r="59">
      <c r="A59" s="12" t="str">
        <f t="shared" si="1"/>
        <v>058</v>
      </c>
      <c r="B59" s="17" t="s">
        <v>643</v>
      </c>
      <c r="C59" s="13">
        <v>49.0</v>
      </c>
      <c r="D59" s="17" t="s">
        <v>644</v>
      </c>
      <c r="E59" s="17" t="s">
        <v>659</v>
      </c>
      <c r="F59" s="18" t="s">
        <v>645</v>
      </c>
      <c r="G59" s="15" t="str">
        <f t="shared" si="2"/>
        <v>Beginner</v>
      </c>
      <c r="H59" s="16" t="str">
        <f t="shared" si="3"/>
        <v>Западный Казахстан</v>
      </c>
      <c r="I59" s="17" t="s">
        <v>673</v>
      </c>
      <c r="J59" s="13" t="str">
        <f t="shared" si="4"/>
        <v>Гражданин РК</v>
      </c>
      <c r="K59" s="17" t="s">
        <v>681</v>
      </c>
      <c r="L59" s="13">
        <f t="shared" si="5"/>
        <v>5</v>
      </c>
      <c r="M59" s="13" t="str">
        <f t="shared" si="6"/>
        <v>самозанятый</v>
      </c>
      <c r="N59" s="13" t="str">
        <f t="shared" si="7"/>
        <v>повышение квалификации</v>
      </c>
      <c r="O59" s="13" t="str">
        <f t="shared" si="8"/>
        <v>Нет</v>
      </c>
      <c r="P59" s="17" t="s">
        <v>660</v>
      </c>
      <c r="Q59" s="13" t="str">
        <f t="shared" si="9"/>
        <v>Маркетинг</v>
      </c>
      <c r="R59" s="13" t="str">
        <f t="shared" si="10"/>
        <v>Торговля</v>
      </c>
      <c r="S59" s="17" t="s">
        <v>674</v>
      </c>
      <c r="T59" s="17" t="str">
        <f t="shared" si="11"/>
        <v>С родителями</v>
      </c>
      <c r="U59" s="17" t="s">
        <v>651</v>
      </c>
      <c r="V59" s="17" t="s">
        <v>652</v>
      </c>
      <c r="W59" s="17" t="s">
        <v>682</v>
      </c>
      <c r="X59" s="17">
        <v>1500.0</v>
      </c>
      <c r="Y59" s="17" t="s">
        <v>651</v>
      </c>
      <c r="Z59" s="17" t="s">
        <v>651</v>
      </c>
      <c r="AA59" s="17" t="s">
        <v>676</v>
      </c>
      <c r="AB59" s="13" t="str">
        <f t="shared" si="12"/>
        <v>B</v>
      </c>
      <c r="AC59" s="17" t="s">
        <v>655</v>
      </c>
      <c r="AD59" s="17" t="s">
        <v>661</v>
      </c>
      <c r="AE59" s="17">
        <v>4.0</v>
      </c>
      <c r="AF59" s="17" t="s">
        <v>665</v>
      </c>
      <c r="AG59" s="13" t="str">
        <f t="shared" si="13"/>
        <v>Без ограничений</v>
      </c>
    </row>
    <row r="60">
      <c r="A60" s="12" t="str">
        <f t="shared" si="1"/>
        <v>059</v>
      </c>
      <c r="B60" s="17" t="s">
        <v>643</v>
      </c>
      <c r="C60" s="13">
        <v>49.0</v>
      </c>
      <c r="D60" s="17" t="s">
        <v>666</v>
      </c>
      <c r="E60" s="17" t="s">
        <v>645</v>
      </c>
      <c r="F60" s="18" t="s">
        <v>646</v>
      </c>
      <c r="G60" s="15" t="str">
        <f t="shared" si="2"/>
        <v>Intermediate</v>
      </c>
      <c r="H60" s="16" t="str">
        <f t="shared" si="3"/>
        <v>Южный Казахстан</v>
      </c>
      <c r="I60" s="17" t="s">
        <v>647</v>
      </c>
      <c r="J60" s="13" t="str">
        <f t="shared" si="4"/>
        <v>Гражданин РК</v>
      </c>
      <c r="K60" s="17" t="s">
        <v>681</v>
      </c>
      <c r="L60" s="13">
        <f t="shared" si="5"/>
        <v>3</v>
      </c>
      <c r="M60" s="13" t="str">
        <f t="shared" si="6"/>
        <v>самозанятый</v>
      </c>
      <c r="N60" s="13" t="str">
        <f t="shared" si="7"/>
        <v>поиск новой работы</v>
      </c>
      <c r="O60" s="13" t="str">
        <f t="shared" si="8"/>
        <v>Только за счет компании</v>
      </c>
      <c r="P60" s="17" t="s">
        <v>660</v>
      </c>
      <c r="Q60" s="13" t="str">
        <f t="shared" si="9"/>
        <v>IT</v>
      </c>
      <c r="R60" s="13" t="str">
        <f t="shared" si="10"/>
        <v>IT</v>
      </c>
      <c r="S60" s="17" t="s">
        <v>650</v>
      </c>
      <c r="T60" s="17" t="str">
        <f t="shared" si="11"/>
        <v>Собственное</v>
      </c>
      <c r="U60" s="17" t="s">
        <v>651</v>
      </c>
      <c r="V60" s="17" t="s">
        <v>652</v>
      </c>
      <c r="W60" s="17" t="s">
        <v>680</v>
      </c>
      <c r="X60" s="17">
        <v>1000.0</v>
      </c>
      <c r="Y60" s="17" t="s">
        <v>651</v>
      </c>
      <c r="Z60" s="17" t="s">
        <v>651</v>
      </c>
      <c r="AA60" s="17" t="s">
        <v>676</v>
      </c>
      <c r="AB60" s="13" t="str">
        <f t="shared" si="12"/>
        <v>B</v>
      </c>
      <c r="AC60" s="17" t="s">
        <v>661</v>
      </c>
      <c r="AD60" s="17" t="s">
        <v>671</v>
      </c>
      <c r="AE60" s="17">
        <v>9.0</v>
      </c>
      <c r="AF60" s="17" t="s">
        <v>672</v>
      </c>
      <c r="AG60" s="13" t="str">
        <f t="shared" si="13"/>
        <v>Аллергия</v>
      </c>
    </row>
    <row r="61">
      <c r="A61" s="12" t="str">
        <f t="shared" si="1"/>
        <v>060</v>
      </c>
      <c r="B61" s="17" t="s">
        <v>658</v>
      </c>
      <c r="C61" s="13">
        <v>49.0</v>
      </c>
      <c r="D61" s="17" t="s">
        <v>644</v>
      </c>
      <c r="E61" s="17" t="s">
        <v>645</v>
      </c>
      <c r="F61" s="18" t="s">
        <v>646</v>
      </c>
      <c r="G61" s="15" t="str">
        <f t="shared" si="2"/>
        <v>Beginner</v>
      </c>
      <c r="H61" s="16" t="str">
        <f t="shared" si="3"/>
        <v>Северный Казахстан</v>
      </c>
      <c r="I61" s="17" t="s">
        <v>647</v>
      </c>
      <c r="J61" s="13" t="str">
        <f t="shared" si="4"/>
        <v>Таджикистан</v>
      </c>
      <c r="K61" s="17" t="s">
        <v>648</v>
      </c>
      <c r="L61" s="13">
        <f t="shared" si="5"/>
        <v>2</v>
      </c>
      <c r="M61" s="13" t="str">
        <f t="shared" si="6"/>
        <v>безработный</v>
      </c>
      <c r="N61" s="13" t="str">
        <f t="shared" si="7"/>
        <v>повышение квалификации</v>
      </c>
      <c r="O61" s="13" t="str">
        <f t="shared" si="8"/>
        <v>Да</v>
      </c>
      <c r="P61" s="17" t="s">
        <v>660</v>
      </c>
      <c r="Q61" s="13" t="str">
        <f t="shared" si="9"/>
        <v>Экономика</v>
      </c>
      <c r="R61" s="13" t="str">
        <f t="shared" si="10"/>
        <v>Финансы</v>
      </c>
      <c r="S61" s="17" t="s">
        <v>661</v>
      </c>
      <c r="T61" s="17" t="str">
        <f t="shared" si="11"/>
        <v>Аренда</v>
      </c>
      <c r="U61" s="17" t="s">
        <v>651</v>
      </c>
      <c r="V61" s="17" t="s">
        <v>662</v>
      </c>
      <c r="W61" s="17" t="s">
        <v>670</v>
      </c>
      <c r="X61" s="17">
        <v>2500.0</v>
      </c>
      <c r="Y61" s="17" t="s">
        <v>651</v>
      </c>
      <c r="Z61" s="17" t="s">
        <v>661</v>
      </c>
      <c r="AA61" s="17" t="s">
        <v>654</v>
      </c>
      <c r="AB61" s="13" t="str">
        <f t="shared" si="12"/>
        <v>B</v>
      </c>
      <c r="AC61" s="17" t="s">
        <v>655</v>
      </c>
      <c r="AD61" s="17" t="s">
        <v>661</v>
      </c>
      <c r="AE61" s="17">
        <v>4.0</v>
      </c>
      <c r="AF61" s="17" t="s">
        <v>684</v>
      </c>
      <c r="AG61" s="13" t="str">
        <f t="shared" si="13"/>
        <v>Без ограничений</v>
      </c>
    </row>
    <row r="62">
      <c r="A62" s="12" t="str">
        <f t="shared" si="1"/>
        <v>061</v>
      </c>
      <c r="B62" s="17" t="s">
        <v>658</v>
      </c>
      <c r="C62" s="13">
        <v>49.0</v>
      </c>
      <c r="D62" s="17" t="s">
        <v>644</v>
      </c>
      <c r="E62" s="17" t="s">
        <v>645</v>
      </c>
      <c r="F62" s="18" t="s">
        <v>659</v>
      </c>
      <c r="G62" s="15" t="str">
        <f t="shared" si="2"/>
        <v>Advanced</v>
      </c>
      <c r="H62" s="16" t="str">
        <f t="shared" si="3"/>
        <v>Западный Казахстан</v>
      </c>
      <c r="I62" s="17" t="s">
        <v>673</v>
      </c>
      <c r="J62" s="13" t="str">
        <f t="shared" si="4"/>
        <v>Гражданин РК</v>
      </c>
      <c r="K62" s="17" t="s">
        <v>681</v>
      </c>
      <c r="L62" s="13">
        <f t="shared" si="5"/>
        <v>0</v>
      </c>
      <c r="M62" s="13" t="str">
        <f t="shared" si="6"/>
        <v>безработный</v>
      </c>
      <c r="N62" s="13" t="str">
        <f t="shared" si="7"/>
        <v>рождение ребенка</v>
      </c>
      <c r="O62" s="13" t="str">
        <f t="shared" si="8"/>
        <v>Да</v>
      </c>
      <c r="P62" s="17" t="s">
        <v>685</v>
      </c>
      <c r="Q62" s="13" t="str">
        <f t="shared" si="9"/>
        <v>Юриспруденция</v>
      </c>
      <c r="R62" s="13" t="str">
        <f t="shared" si="10"/>
        <v>Услуги</v>
      </c>
      <c r="S62" s="17" t="s">
        <v>661</v>
      </c>
      <c r="T62" s="17" t="str">
        <f t="shared" si="11"/>
        <v>С родителями</v>
      </c>
      <c r="U62" s="17" t="s">
        <v>651</v>
      </c>
      <c r="V62" s="17" t="s">
        <v>662</v>
      </c>
      <c r="W62" s="17" t="s">
        <v>682</v>
      </c>
      <c r="X62" s="17">
        <v>4000.0</v>
      </c>
      <c r="Y62" s="17" t="s">
        <v>651</v>
      </c>
      <c r="Z62" s="17" t="s">
        <v>651</v>
      </c>
      <c r="AA62" s="17" t="s">
        <v>654</v>
      </c>
      <c r="AB62" s="13" t="str">
        <f t="shared" si="12"/>
        <v>Нет</v>
      </c>
      <c r="AC62" s="17" t="s">
        <v>661</v>
      </c>
      <c r="AD62" s="17" t="s">
        <v>671</v>
      </c>
      <c r="AE62" s="17">
        <v>10.0</v>
      </c>
      <c r="AF62" s="17" t="s">
        <v>686</v>
      </c>
      <c r="AG62" s="13" t="str">
        <f t="shared" si="13"/>
        <v>Без ограничений</v>
      </c>
    </row>
    <row r="63">
      <c r="A63" s="12" t="str">
        <f t="shared" si="1"/>
        <v>062</v>
      </c>
      <c r="B63" s="17" t="s">
        <v>658</v>
      </c>
      <c r="C63" s="13">
        <v>49.0</v>
      </c>
      <c r="D63" s="17" t="s">
        <v>644</v>
      </c>
      <c r="E63" s="17" t="s">
        <v>645</v>
      </c>
      <c r="F63" s="18" t="s">
        <v>659</v>
      </c>
      <c r="G63" s="15" t="str">
        <f t="shared" si="2"/>
        <v>Advanced</v>
      </c>
      <c r="H63" s="16" t="str">
        <f t="shared" si="3"/>
        <v>Центральный Казахстан</v>
      </c>
      <c r="I63" s="17" t="s">
        <v>673</v>
      </c>
      <c r="J63" s="13" t="str">
        <f t="shared" si="4"/>
        <v>Гражданин РК</v>
      </c>
      <c r="K63" s="17" t="s">
        <v>681</v>
      </c>
      <c r="L63" s="13">
        <f t="shared" si="5"/>
        <v>1</v>
      </c>
      <c r="M63" s="13" t="str">
        <f t="shared" si="6"/>
        <v>безработный</v>
      </c>
      <c r="N63" s="13" t="str">
        <f t="shared" si="7"/>
        <v>покупка авто</v>
      </c>
      <c r="O63" s="13" t="str">
        <f t="shared" si="8"/>
        <v>Нет</v>
      </c>
      <c r="P63" s="17" t="s">
        <v>678</v>
      </c>
      <c r="Q63" s="13" t="str">
        <f t="shared" si="9"/>
        <v>Медицина</v>
      </c>
      <c r="R63" s="13" t="str">
        <f t="shared" si="10"/>
        <v>Здравоохранение</v>
      </c>
      <c r="S63" s="17" t="s">
        <v>650</v>
      </c>
      <c r="T63" s="17" t="str">
        <f t="shared" si="11"/>
        <v>С родителями</v>
      </c>
      <c r="U63" s="17" t="s">
        <v>661</v>
      </c>
      <c r="V63" s="17" t="s">
        <v>652</v>
      </c>
      <c r="W63" s="17" t="s">
        <v>663</v>
      </c>
      <c r="X63" s="17">
        <v>4000.0</v>
      </c>
      <c r="Y63" s="17" t="s">
        <v>651</v>
      </c>
      <c r="Z63" s="17" t="s">
        <v>651</v>
      </c>
      <c r="AA63" s="17" t="s">
        <v>676</v>
      </c>
      <c r="AB63" s="13" t="str">
        <f t="shared" si="12"/>
        <v>D</v>
      </c>
      <c r="AC63" s="17" t="s">
        <v>661</v>
      </c>
      <c r="AD63" s="17" t="s">
        <v>671</v>
      </c>
      <c r="AE63" s="17">
        <v>10.0</v>
      </c>
      <c r="AF63" s="17" t="s">
        <v>686</v>
      </c>
      <c r="AG63" s="13" t="str">
        <f t="shared" si="13"/>
        <v>Зрение</v>
      </c>
    </row>
    <row r="64">
      <c r="A64" s="12" t="str">
        <f t="shared" si="1"/>
        <v>063</v>
      </c>
      <c r="B64" s="17" t="s">
        <v>658</v>
      </c>
      <c r="C64" s="13">
        <v>49.0</v>
      </c>
      <c r="D64" s="17" t="s">
        <v>666</v>
      </c>
      <c r="E64" s="17" t="s">
        <v>659</v>
      </c>
      <c r="F64" s="18" t="s">
        <v>646</v>
      </c>
      <c r="G64" s="15" t="str">
        <f t="shared" si="2"/>
        <v>Advanced</v>
      </c>
      <c r="H64" s="16" t="str">
        <f t="shared" si="3"/>
        <v>Северный Казахстан</v>
      </c>
      <c r="I64" s="17" t="s">
        <v>673</v>
      </c>
      <c r="J64" s="13" t="str">
        <f t="shared" si="4"/>
        <v>Гражданин РК</v>
      </c>
      <c r="K64" s="17" t="s">
        <v>681</v>
      </c>
      <c r="L64" s="13">
        <f t="shared" si="5"/>
        <v>1</v>
      </c>
      <c r="M64" s="13" t="str">
        <f t="shared" si="6"/>
        <v>самозанятый</v>
      </c>
      <c r="N64" s="13" t="str">
        <f t="shared" si="7"/>
        <v>отпуск за границей</v>
      </c>
      <c r="O64" s="13" t="str">
        <f t="shared" si="8"/>
        <v>Нет</v>
      </c>
      <c r="P64" s="17" t="s">
        <v>685</v>
      </c>
      <c r="Q64" s="13" t="str">
        <f t="shared" si="9"/>
        <v>Строительство</v>
      </c>
      <c r="R64" s="13" t="str">
        <f t="shared" si="10"/>
        <v>Производство</v>
      </c>
      <c r="S64" s="17" t="s">
        <v>650</v>
      </c>
      <c r="T64" s="17" t="str">
        <f t="shared" si="11"/>
        <v>Аренда</v>
      </c>
      <c r="U64" s="17" t="s">
        <v>651</v>
      </c>
      <c r="V64" s="17" t="s">
        <v>652</v>
      </c>
      <c r="W64" s="17" t="s">
        <v>680</v>
      </c>
      <c r="X64" s="17">
        <v>800.0</v>
      </c>
      <c r="Y64" s="17" t="s">
        <v>651</v>
      </c>
      <c r="Z64" s="17" t="s">
        <v>661</v>
      </c>
      <c r="AA64" s="17" t="s">
        <v>676</v>
      </c>
      <c r="AB64" s="13" t="str">
        <f t="shared" si="12"/>
        <v>B</v>
      </c>
      <c r="AC64" s="17" t="s">
        <v>655</v>
      </c>
      <c r="AD64" s="17" t="s">
        <v>661</v>
      </c>
      <c r="AE64" s="17">
        <v>10.0</v>
      </c>
      <c r="AF64" s="17" t="s">
        <v>665</v>
      </c>
      <c r="AG64" s="13" t="str">
        <f t="shared" si="13"/>
        <v>Без ограничений</v>
      </c>
    </row>
    <row r="65">
      <c r="A65" s="12" t="str">
        <f t="shared" si="1"/>
        <v>064</v>
      </c>
      <c r="B65" s="17" t="s">
        <v>643</v>
      </c>
      <c r="C65" s="13">
        <v>49.0</v>
      </c>
      <c r="D65" s="17" t="s">
        <v>666</v>
      </c>
      <c r="E65" s="17" t="s">
        <v>646</v>
      </c>
      <c r="F65" s="18" t="s">
        <v>645</v>
      </c>
      <c r="G65" s="15" t="str">
        <f t="shared" si="2"/>
        <v>Beginner</v>
      </c>
      <c r="H65" s="16" t="str">
        <f t="shared" si="3"/>
        <v>Восточный Казахстан</v>
      </c>
      <c r="I65" s="17" t="s">
        <v>647</v>
      </c>
      <c r="J65" s="13" t="str">
        <f t="shared" si="4"/>
        <v>Китай</v>
      </c>
      <c r="K65" s="17" t="s">
        <v>681</v>
      </c>
      <c r="L65" s="13">
        <f t="shared" si="5"/>
        <v>2</v>
      </c>
      <c r="M65" s="13" t="str">
        <f t="shared" si="6"/>
        <v>наемный работник</v>
      </c>
      <c r="N65" s="13" t="str">
        <f t="shared" si="7"/>
        <v>отпуск за границей</v>
      </c>
      <c r="O65" s="13" t="str">
        <f t="shared" si="8"/>
        <v>Да</v>
      </c>
      <c r="P65" s="17" t="s">
        <v>660</v>
      </c>
      <c r="Q65" s="13" t="str">
        <f t="shared" si="9"/>
        <v>Сервис</v>
      </c>
      <c r="R65" s="13" t="str">
        <f t="shared" si="10"/>
        <v>Услуги</v>
      </c>
      <c r="S65" s="17" t="s">
        <v>674</v>
      </c>
      <c r="T65" s="17" t="str">
        <f t="shared" si="11"/>
        <v>С родителями</v>
      </c>
      <c r="U65" s="17" t="s">
        <v>651</v>
      </c>
      <c r="V65" s="17" t="s">
        <v>652</v>
      </c>
      <c r="W65" s="17" t="s">
        <v>670</v>
      </c>
      <c r="X65" s="17">
        <v>1500.0</v>
      </c>
      <c r="Y65" s="17" t="s">
        <v>651</v>
      </c>
      <c r="Z65" s="17" t="s">
        <v>661</v>
      </c>
      <c r="AA65" s="17" t="s">
        <v>654</v>
      </c>
      <c r="AB65" s="13" t="str">
        <f t="shared" si="12"/>
        <v>B</v>
      </c>
      <c r="AC65" s="17" t="s">
        <v>661</v>
      </c>
      <c r="AD65" s="17" t="s">
        <v>656</v>
      </c>
      <c r="AE65" s="17">
        <v>6.0</v>
      </c>
      <c r="AF65" s="17" t="s">
        <v>672</v>
      </c>
      <c r="AG65" s="13" t="str">
        <f t="shared" si="13"/>
        <v>Без ограничений</v>
      </c>
    </row>
    <row r="66">
      <c r="A66" s="12" t="str">
        <f t="shared" si="1"/>
        <v>065</v>
      </c>
      <c r="B66" s="17" t="s">
        <v>658</v>
      </c>
      <c r="C66" s="13">
        <v>49.0</v>
      </c>
      <c r="D66" s="17" t="s">
        <v>644</v>
      </c>
      <c r="E66" s="17" t="s">
        <v>646</v>
      </c>
      <c r="F66" s="18" t="s">
        <v>646</v>
      </c>
      <c r="G66" s="15" t="str">
        <f t="shared" si="2"/>
        <v>Intermediate</v>
      </c>
      <c r="H66" s="16" t="str">
        <f t="shared" si="3"/>
        <v>Центральный Казахстан</v>
      </c>
      <c r="I66" s="17" t="s">
        <v>667</v>
      </c>
      <c r="J66" s="13" t="str">
        <f t="shared" si="4"/>
        <v>Гражданин РК</v>
      </c>
      <c r="K66" s="17" t="s">
        <v>681</v>
      </c>
      <c r="L66" s="13">
        <f t="shared" si="5"/>
        <v>3</v>
      </c>
      <c r="M66" s="13" t="str">
        <f t="shared" si="6"/>
        <v>безработный</v>
      </c>
      <c r="N66" s="13" t="str">
        <f t="shared" si="7"/>
        <v>переезд</v>
      </c>
      <c r="O66" s="13" t="str">
        <f t="shared" si="8"/>
        <v>Да</v>
      </c>
      <c r="P66" s="17" t="s">
        <v>685</v>
      </c>
      <c r="Q66" s="13" t="str">
        <f t="shared" si="9"/>
        <v>Медицина</v>
      </c>
      <c r="R66" s="13" t="str">
        <f t="shared" si="10"/>
        <v>Здравоохранение</v>
      </c>
      <c r="S66" s="17" t="s">
        <v>661</v>
      </c>
      <c r="T66" s="17" t="str">
        <f t="shared" si="11"/>
        <v>С родителями</v>
      </c>
      <c r="U66" s="17" t="s">
        <v>661</v>
      </c>
      <c r="V66" s="17" t="s">
        <v>652</v>
      </c>
      <c r="W66" s="17" t="s">
        <v>663</v>
      </c>
      <c r="X66" s="17">
        <v>1500.0</v>
      </c>
      <c r="Y66" s="17" t="s">
        <v>651</v>
      </c>
      <c r="Z66" s="17" t="s">
        <v>651</v>
      </c>
      <c r="AA66" s="17" t="s">
        <v>676</v>
      </c>
      <c r="AB66" s="13" t="str">
        <f t="shared" si="12"/>
        <v>B</v>
      </c>
      <c r="AC66" s="17" t="s">
        <v>655</v>
      </c>
      <c r="AD66" s="17" t="s">
        <v>656</v>
      </c>
      <c r="AE66" s="17">
        <v>4.0</v>
      </c>
      <c r="AF66" s="17" t="s">
        <v>672</v>
      </c>
      <c r="AG66" s="13" t="str">
        <f t="shared" si="13"/>
        <v>Без ограничений</v>
      </c>
    </row>
    <row r="67">
      <c r="A67" s="12" t="str">
        <f t="shared" si="1"/>
        <v>066</v>
      </c>
      <c r="B67" s="17" t="s">
        <v>643</v>
      </c>
      <c r="C67" s="13">
        <v>49.0</v>
      </c>
      <c r="D67" s="17" t="s">
        <v>644</v>
      </c>
      <c r="E67" s="17" t="s">
        <v>645</v>
      </c>
      <c r="F67" s="18" t="s">
        <v>659</v>
      </c>
      <c r="G67" s="15" t="str">
        <f t="shared" si="2"/>
        <v>No</v>
      </c>
      <c r="H67" s="16" t="str">
        <f t="shared" si="3"/>
        <v>Центральный Казахстан</v>
      </c>
      <c r="I67" s="17" t="s">
        <v>673</v>
      </c>
      <c r="J67" s="13" t="str">
        <f t="shared" si="4"/>
        <v>РФ</v>
      </c>
      <c r="K67" s="17" t="s">
        <v>668</v>
      </c>
      <c r="L67" s="13">
        <f t="shared" si="5"/>
        <v>0</v>
      </c>
      <c r="M67" s="13" t="str">
        <f t="shared" si="6"/>
        <v>самозанятый</v>
      </c>
      <c r="N67" s="13" t="str">
        <f t="shared" si="7"/>
        <v>переезд</v>
      </c>
      <c r="O67" s="13" t="str">
        <f t="shared" si="8"/>
        <v>Да</v>
      </c>
      <c r="P67" s="17" t="s">
        <v>685</v>
      </c>
      <c r="Q67" s="13" t="str">
        <f t="shared" si="9"/>
        <v>Медицина</v>
      </c>
      <c r="R67" s="13" t="str">
        <f t="shared" si="10"/>
        <v>Здравоохранение</v>
      </c>
      <c r="S67" s="17" t="s">
        <v>650</v>
      </c>
      <c r="T67" s="17" t="str">
        <f t="shared" si="11"/>
        <v>Собственное</v>
      </c>
      <c r="U67" s="17" t="s">
        <v>661</v>
      </c>
      <c r="V67" s="17" t="s">
        <v>652</v>
      </c>
      <c r="W67" s="17" t="s">
        <v>682</v>
      </c>
      <c r="X67" s="17">
        <v>1500.0</v>
      </c>
      <c r="Y67" s="17" t="s">
        <v>651</v>
      </c>
      <c r="Z67" s="17" t="s">
        <v>651</v>
      </c>
      <c r="AA67" s="17" t="s">
        <v>676</v>
      </c>
      <c r="AB67" s="13" t="str">
        <f t="shared" si="12"/>
        <v>B</v>
      </c>
      <c r="AC67" s="17" t="s">
        <v>655</v>
      </c>
      <c r="AD67" s="17" t="s">
        <v>661</v>
      </c>
      <c r="AE67" s="17">
        <v>9.0</v>
      </c>
      <c r="AF67" s="17" t="s">
        <v>672</v>
      </c>
      <c r="AG67" s="13" t="str">
        <f t="shared" si="13"/>
        <v>Без ограничений</v>
      </c>
    </row>
    <row r="68">
      <c r="A68" s="12" t="str">
        <f t="shared" si="1"/>
        <v>067</v>
      </c>
      <c r="B68" s="17" t="s">
        <v>643</v>
      </c>
      <c r="C68" s="13">
        <v>49.0</v>
      </c>
      <c r="D68" s="17" t="s">
        <v>644</v>
      </c>
      <c r="E68" s="17" t="s">
        <v>646</v>
      </c>
      <c r="F68" s="18" t="s">
        <v>659</v>
      </c>
      <c r="G68" s="15" t="str">
        <f t="shared" si="2"/>
        <v>Advanced</v>
      </c>
      <c r="H68" s="16" t="str">
        <f t="shared" si="3"/>
        <v>Западный Казахстан</v>
      </c>
      <c r="I68" s="17" t="s">
        <v>673</v>
      </c>
      <c r="J68" s="13" t="str">
        <f t="shared" si="4"/>
        <v>Кыргызстан</v>
      </c>
      <c r="K68" s="17" t="s">
        <v>681</v>
      </c>
      <c r="L68" s="13">
        <f t="shared" si="5"/>
        <v>2</v>
      </c>
      <c r="M68" s="13" t="str">
        <f t="shared" si="6"/>
        <v>наемный работник</v>
      </c>
      <c r="N68" s="13" t="str">
        <f t="shared" si="7"/>
        <v>ремонт</v>
      </c>
      <c r="O68" s="13" t="str">
        <f t="shared" si="8"/>
        <v>Да</v>
      </c>
      <c r="P68" s="17" t="s">
        <v>660</v>
      </c>
      <c r="Q68" s="13" t="str">
        <f t="shared" si="9"/>
        <v>IT</v>
      </c>
      <c r="R68" s="13" t="str">
        <f t="shared" si="10"/>
        <v>IT</v>
      </c>
      <c r="S68" s="17" t="s">
        <v>661</v>
      </c>
      <c r="T68" s="17" t="str">
        <f t="shared" si="11"/>
        <v>Аренда</v>
      </c>
      <c r="U68" s="17" t="s">
        <v>661</v>
      </c>
      <c r="V68" s="17" t="s">
        <v>662</v>
      </c>
      <c r="W68" s="17" t="s">
        <v>670</v>
      </c>
      <c r="X68" s="17">
        <v>800.0</v>
      </c>
      <c r="Y68" s="17" t="s">
        <v>651</v>
      </c>
      <c r="Z68" s="17" t="s">
        <v>661</v>
      </c>
      <c r="AA68" s="17" t="s">
        <v>676</v>
      </c>
      <c r="AB68" s="13" t="str">
        <f t="shared" si="12"/>
        <v>B</v>
      </c>
      <c r="AC68" s="17" t="s">
        <v>655</v>
      </c>
      <c r="AD68" s="17" t="s">
        <v>677</v>
      </c>
      <c r="AE68" s="17">
        <v>9.0</v>
      </c>
      <c r="AF68" s="17" t="s">
        <v>665</v>
      </c>
      <c r="AG68" s="13" t="str">
        <f t="shared" si="13"/>
        <v>Без ограничений</v>
      </c>
    </row>
    <row r="69">
      <c r="A69" s="12" t="str">
        <f t="shared" si="1"/>
        <v>068</v>
      </c>
      <c r="B69" s="17" t="s">
        <v>643</v>
      </c>
      <c r="C69" s="13">
        <v>49.0</v>
      </c>
      <c r="D69" s="17" t="s">
        <v>666</v>
      </c>
      <c r="E69" s="17" t="s">
        <v>659</v>
      </c>
      <c r="F69" s="18" t="s">
        <v>659</v>
      </c>
      <c r="G69" s="15" t="str">
        <f t="shared" si="2"/>
        <v>Intermediate</v>
      </c>
      <c r="H69" s="16" t="str">
        <f t="shared" si="3"/>
        <v>Восточный Казахстан</v>
      </c>
      <c r="I69" s="17" t="s">
        <v>647</v>
      </c>
      <c r="J69" s="13" t="str">
        <f t="shared" si="4"/>
        <v>Гражданин РК</v>
      </c>
      <c r="K69" s="17" t="s">
        <v>681</v>
      </c>
      <c r="L69" s="13">
        <f t="shared" si="5"/>
        <v>0</v>
      </c>
      <c r="M69" s="13" t="str">
        <f t="shared" si="6"/>
        <v>наемный работник</v>
      </c>
      <c r="N69" s="13" t="str">
        <f t="shared" si="7"/>
        <v>поиск новой работы</v>
      </c>
      <c r="O69" s="13" t="str">
        <f t="shared" si="8"/>
        <v>Да</v>
      </c>
      <c r="P69" s="17" t="s">
        <v>669</v>
      </c>
      <c r="Q69" s="13" t="str">
        <f t="shared" si="9"/>
        <v>Экономика</v>
      </c>
      <c r="R69" s="13" t="str">
        <f t="shared" si="10"/>
        <v>Финансы</v>
      </c>
      <c r="S69" s="17" t="s">
        <v>661</v>
      </c>
      <c r="T69" s="17" t="str">
        <f t="shared" si="11"/>
        <v>С родителями</v>
      </c>
      <c r="U69" s="17" t="s">
        <v>651</v>
      </c>
      <c r="V69" s="17" t="s">
        <v>652</v>
      </c>
      <c r="W69" s="17" t="s">
        <v>663</v>
      </c>
      <c r="X69" s="17">
        <v>2500.0</v>
      </c>
      <c r="Y69" s="17" t="s">
        <v>651</v>
      </c>
      <c r="Z69" s="17" t="s">
        <v>651</v>
      </c>
      <c r="AA69" s="17" t="s">
        <v>676</v>
      </c>
      <c r="AB69" s="13" t="str">
        <f t="shared" si="12"/>
        <v>Нет</v>
      </c>
      <c r="AC69" s="17" t="s">
        <v>661</v>
      </c>
      <c r="AD69" s="17" t="s">
        <v>671</v>
      </c>
      <c r="AE69" s="17">
        <v>7.0</v>
      </c>
      <c r="AF69" s="17" t="s">
        <v>679</v>
      </c>
      <c r="AG69" s="13" t="str">
        <f t="shared" si="13"/>
        <v>Без ограничений</v>
      </c>
    </row>
    <row r="70">
      <c r="A70" s="12" t="str">
        <f t="shared" si="1"/>
        <v>069</v>
      </c>
      <c r="B70" s="17" t="s">
        <v>643</v>
      </c>
      <c r="C70" s="13">
        <v>49.0</v>
      </c>
      <c r="D70" s="17" t="s">
        <v>666</v>
      </c>
      <c r="E70" s="17" t="s">
        <v>646</v>
      </c>
      <c r="F70" s="18" t="s">
        <v>646</v>
      </c>
      <c r="G70" s="15" t="str">
        <f t="shared" si="2"/>
        <v>Beginner</v>
      </c>
      <c r="H70" s="16" t="str">
        <f t="shared" si="3"/>
        <v>Центральный Казахстан</v>
      </c>
      <c r="I70" s="17" t="s">
        <v>673</v>
      </c>
      <c r="J70" s="13" t="str">
        <f t="shared" si="4"/>
        <v>Гражданин РК</v>
      </c>
      <c r="K70" s="17" t="s">
        <v>648</v>
      </c>
      <c r="L70" s="13">
        <f t="shared" si="5"/>
        <v>0</v>
      </c>
      <c r="M70" s="13" t="str">
        <f t="shared" si="6"/>
        <v>безработный</v>
      </c>
      <c r="N70" s="13" t="str">
        <f t="shared" si="7"/>
        <v>поиск новой работы</v>
      </c>
      <c r="O70" s="13" t="str">
        <f t="shared" si="8"/>
        <v>Нет</v>
      </c>
      <c r="P70" s="17" t="s">
        <v>669</v>
      </c>
      <c r="Q70" s="13" t="str">
        <f t="shared" si="9"/>
        <v>Дизайн</v>
      </c>
      <c r="R70" s="13" t="str">
        <f t="shared" si="10"/>
        <v>Услуги</v>
      </c>
      <c r="S70" s="17" t="s">
        <v>674</v>
      </c>
      <c r="T70" s="17" t="str">
        <f t="shared" si="11"/>
        <v>Аренда</v>
      </c>
      <c r="U70" s="17" t="s">
        <v>661</v>
      </c>
      <c r="V70" s="17" t="s">
        <v>662</v>
      </c>
      <c r="W70" s="17" t="s">
        <v>670</v>
      </c>
      <c r="X70" s="17">
        <v>2500.0</v>
      </c>
      <c r="Y70" s="17" t="s">
        <v>651</v>
      </c>
      <c r="Z70" s="17" t="s">
        <v>661</v>
      </c>
      <c r="AA70" s="17" t="s">
        <v>654</v>
      </c>
      <c r="AB70" s="13" t="str">
        <f t="shared" si="12"/>
        <v>A</v>
      </c>
      <c r="AC70" s="17" t="s">
        <v>661</v>
      </c>
      <c r="AD70" s="17" t="s">
        <v>671</v>
      </c>
      <c r="AE70" s="17">
        <v>4.0</v>
      </c>
      <c r="AF70" s="17" t="s">
        <v>657</v>
      </c>
      <c r="AG70" s="13" t="str">
        <f t="shared" si="13"/>
        <v>Без ограничений</v>
      </c>
    </row>
    <row r="71">
      <c r="A71" s="12" t="str">
        <f t="shared" si="1"/>
        <v>070</v>
      </c>
      <c r="B71" s="17" t="s">
        <v>643</v>
      </c>
      <c r="C71" s="13">
        <v>49.0</v>
      </c>
      <c r="D71" s="17" t="s">
        <v>644</v>
      </c>
      <c r="E71" s="17" t="s">
        <v>646</v>
      </c>
      <c r="F71" s="18" t="s">
        <v>645</v>
      </c>
      <c r="G71" s="15" t="str">
        <f t="shared" si="2"/>
        <v>Advanced</v>
      </c>
      <c r="H71" s="16" t="str">
        <f t="shared" si="3"/>
        <v>Центральный Казахстан</v>
      </c>
      <c r="I71" s="17" t="s">
        <v>673</v>
      </c>
      <c r="J71" s="13" t="str">
        <f t="shared" si="4"/>
        <v>Гражданин РК</v>
      </c>
      <c r="K71" s="17" t="s">
        <v>648</v>
      </c>
      <c r="L71" s="13">
        <f t="shared" si="5"/>
        <v>0</v>
      </c>
      <c r="M71" s="13" t="str">
        <f t="shared" si="6"/>
        <v>самозанятый</v>
      </c>
      <c r="N71" s="13" t="str">
        <f t="shared" si="7"/>
        <v>ремонт</v>
      </c>
      <c r="O71" s="13" t="str">
        <f t="shared" si="8"/>
        <v>Только за счет компании</v>
      </c>
      <c r="P71" s="17" t="s">
        <v>678</v>
      </c>
      <c r="Q71" s="13" t="str">
        <f t="shared" si="9"/>
        <v>Маркетинг</v>
      </c>
      <c r="R71" s="13" t="str">
        <f t="shared" si="10"/>
        <v>Торговля</v>
      </c>
      <c r="S71" s="17" t="s">
        <v>650</v>
      </c>
      <c r="T71" s="17" t="str">
        <f t="shared" si="11"/>
        <v>Аренда</v>
      </c>
      <c r="U71" s="17" t="s">
        <v>661</v>
      </c>
      <c r="V71" s="17" t="s">
        <v>662</v>
      </c>
      <c r="W71" s="17" t="s">
        <v>680</v>
      </c>
      <c r="X71" s="17">
        <v>2500.0</v>
      </c>
      <c r="Y71" s="17" t="s">
        <v>651</v>
      </c>
      <c r="Z71" s="17" t="s">
        <v>661</v>
      </c>
      <c r="AA71" s="17" t="s">
        <v>654</v>
      </c>
      <c r="AB71" s="13" t="str">
        <f t="shared" si="12"/>
        <v>D</v>
      </c>
      <c r="AC71" s="17" t="s">
        <v>661</v>
      </c>
      <c r="AD71" s="17" t="s">
        <v>656</v>
      </c>
      <c r="AE71" s="17">
        <v>5.0</v>
      </c>
      <c r="AF71" s="17" t="s">
        <v>689</v>
      </c>
      <c r="AG71" s="13" t="str">
        <f t="shared" si="13"/>
        <v>Аллергия</v>
      </c>
    </row>
    <row r="72">
      <c r="A72" s="12" t="str">
        <f t="shared" si="1"/>
        <v>071</v>
      </c>
      <c r="B72" s="17" t="s">
        <v>658</v>
      </c>
      <c r="C72" s="13">
        <v>49.0</v>
      </c>
      <c r="D72" s="17" t="s">
        <v>644</v>
      </c>
      <c r="E72" s="17" t="s">
        <v>659</v>
      </c>
      <c r="F72" s="18" t="s">
        <v>646</v>
      </c>
      <c r="G72" s="15" t="str">
        <f t="shared" si="2"/>
        <v>Intermediate</v>
      </c>
      <c r="H72" s="16" t="str">
        <f t="shared" si="3"/>
        <v>Северный Казахстан</v>
      </c>
      <c r="I72" s="17" t="s">
        <v>667</v>
      </c>
      <c r="J72" s="13" t="str">
        <f t="shared" si="4"/>
        <v>Гражданин РК</v>
      </c>
      <c r="K72" s="17" t="s">
        <v>668</v>
      </c>
      <c r="L72" s="13">
        <f t="shared" si="5"/>
        <v>0</v>
      </c>
      <c r="M72" s="13" t="str">
        <f t="shared" si="6"/>
        <v>безработный</v>
      </c>
      <c r="N72" s="13" t="str">
        <f t="shared" si="7"/>
        <v>поиск новой работы</v>
      </c>
      <c r="O72" s="13" t="str">
        <f t="shared" si="8"/>
        <v>Да</v>
      </c>
      <c r="P72" s="17" t="s">
        <v>660</v>
      </c>
      <c r="Q72" s="13" t="str">
        <f t="shared" si="9"/>
        <v>Сервис</v>
      </c>
      <c r="R72" s="13" t="str">
        <f t="shared" si="10"/>
        <v>Услуги</v>
      </c>
      <c r="S72" s="17" t="s">
        <v>674</v>
      </c>
      <c r="T72" s="17" t="str">
        <f t="shared" si="11"/>
        <v>Собственное</v>
      </c>
      <c r="U72" s="17" t="s">
        <v>661</v>
      </c>
      <c r="V72" s="17" t="s">
        <v>652</v>
      </c>
      <c r="W72" s="17" t="s">
        <v>680</v>
      </c>
      <c r="X72" s="17">
        <v>4000.0</v>
      </c>
      <c r="Y72" s="17" t="s">
        <v>651</v>
      </c>
      <c r="Z72" s="17" t="s">
        <v>651</v>
      </c>
      <c r="AA72" s="17" t="s">
        <v>676</v>
      </c>
      <c r="AB72" s="13" t="str">
        <f t="shared" si="12"/>
        <v>B</v>
      </c>
      <c r="AC72" s="17" t="s">
        <v>655</v>
      </c>
      <c r="AD72" s="17" t="s">
        <v>671</v>
      </c>
      <c r="AE72" s="17">
        <v>10.0</v>
      </c>
      <c r="AF72" s="17" t="s">
        <v>684</v>
      </c>
      <c r="AG72" s="13" t="str">
        <f t="shared" si="13"/>
        <v>Без ограничений</v>
      </c>
    </row>
    <row r="73">
      <c r="A73" s="12" t="str">
        <f t="shared" si="1"/>
        <v>072</v>
      </c>
      <c r="B73" s="17" t="s">
        <v>658</v>
      </c>
      <c r="C73" s="13">
        <v>49.0</v>
      </c>
      <c r="D73" s="17" t="s">
        <v>666</v>
      </c>
      <c r="E73" s="17" t="s">
        <v>646</v>
      </c>
      <c r="F73" s="18" t="s">
        <v>659</v>
      </c>
      <c r="G73" s="15" t="str">
        <f t="shared" si="2"/>
        <v>No</v>
      </c>
      <c r="H73" s="16" t="str">
        <f t="shared" si="3"/>
        <v>Западный Казахстан</v>
      </c>
      <c r="I73" s="17" t="s">
        <v>667</v>
      </c>
      <c r="J73" s="13" t="str">
        <f t="shared" si="4"/>
        <v>РФ</v>
      </c>
      <c r="K73" s="17" t="s">
        <v>668</v>
      </c>
      <c r="L73" s="13">
        <f t="shared" si="5"/>
        <v>0</v>
      </c>
      <c r="M73" s="13" t="str">
        <f t="shared" si="6"/>
        <v>наемный работник</v>
      </c>
      <c r="N73" s="13" t="str">
        <f t="shared" si="7"/>
        <v>поиск новой работы</v>
      </c>
      <c r="O73" s="13" t="str">
        <f t="shared" si="8"/>
        <v>Да</v>
      </c>
      <c r="P73" s="17" t="s">
        <v>678</v>
      </c>
      <c r="Q73" s="13" t="str">
        <f t="shared" si="9"/>
        <v>Сервис</v>
      </c>
      <c r="R73" s="13" t="str">
        <f t="shared" si="10"/>
        <v>Услуги</v>
      </c>
      <c r="S73" s="17" t="s">
        <v>650</v>
      </c>
      <c r="T73" s="17" t="str">
        <f t="shared" si="11"/>
        <v>Собственное</v>
      </c>
      <c r="U73" s="17" t="s">
        <v>661</v>
      </c>
      <c r="V73" s="17" t="s">
        <v>662</v>
      </c>
      <c r="W73" s="17" t="s">
        <v>682</v>
      </c>
      <c r="X73" s="17">
        <v>4000.0</v>
      </c>
      <c r="Y73" s="17" t="s">
        <v>651</v>
      </c>
      <c r="Z73" s="17" t="s">
        <v>661</v>
      </c>
      <c r="AA73" s="17" t="s">
        <v>676</v>
      </c>
      <c r="AB73" s="13" t="str">
        <f t="shared" si="12"/>
        <v>B</v>
      </c>
      <c r="AC73" s="17" t="s">
        <v>655</v>
      </c>
      <c r="AD73" s="17" t="s">
        <v>661</v>
      </c>
      <c r="AE73" s="17">
        <v>9.0</v>
      </c>
      <c r="AF73" s="17" t="s">
        <v>690</v>
      </c>
      <c r="AG73" s="13" t="str">
        <f t="shared" si="13"/>
        <v>Без ограничений</v>
      </c>
    </row>
    <row r="74">
      <c r="A74" s="12" t="str">
        <f t="shared" si="1"/>
        <v>073</v>
      </c>
      <c r="B74" s="17" t="s">
        <v>643</v>
      </c>
      <c r="C74" s="13">
        <v>49.0</v>
      </c>
      <c r="D74" s="17" t="s">
        <v>666</v>
      </c>
      <c r="E74" s="17" t="s">
        <v>659</v>
      </c>
      <c r="F74" s="18" t="s">
        <v>646</v>
      </c>
      <c r="G74" s="15" t="str">
        <f t="shared" si="2"/>
        <v>Advanced</v>
      </c>
      <c r="H74" s="16" t="str">
        <f t="shared" si="3"/>
        <v>Южный Казахстан</v>
      </c>
      <c r="I74" s="17" t="s">
        <v>667</v>
      </c>
      <c r="J74" s="13" t="str">
        <f t="shared" si="4"/>
        <v>Гражданин РК</v>
      </c>
      <c r="K74" s="17" t="s">
        <v>668</v>
      </c>
      <c r="L74" s="13">
        <f t="shared" si="5"/>
        <v>0</v>
      </c>
      <c r="M74" s="13" t="str">
        <f t="shared" si="6"/>
        <v>безработный</v>
      </c>
      <c r="N74" s="13" t="str">
        <f t="shared" si="7"/>
        <v>повышение квалификации</v>
      </c>
      <c r="O74" s="13" t="str">
        <f t="shared" si="8"/>
        <v>Да</v>
      </c>
      <c r="P74" s="17" t="s">
        <v>649</v>
      </c>
      <c r="Q74" s="13" t="str">
        <f t="shared" si="9"/>
        <v>Медицина</v>
      </c>
      <c r="R74" s="13" t="str">
        <f t="shared" si="10"/>
        <v>Здравоохранение</v>
      </c>
      <c r="S74" s="17" t="s">
        <v>661</v>
      </c>
      <c r="T74" s="17" t="str">
        <f t="shared" si="11"/>
        <v>Аренда</v>
      </c>
      <c r="U74" s="17" t="s">
        <v>661</v>
      </c>
      <c r="V74" s="17" t="s">
        <v>675</v>
      </c>
      <c r="W74" s="17" t="s">
        <v>682</v>
      </c>
      <c r="X74" s="17">
        <v>800.0</v>
      </c>
      <c r="Y74" s="17" t="s">
        <v>651</v>
      </c>
      <c r="Z74" s="17" t="s">
        <v>661</v>
      </c>
      <c r="AA74" s="17" t="s">
        <v>676</v>
      </c>
      <c r="AB74" s="13" t="str">
        <f t="shared" si="12"/>
        <v>B</v>
      </c>
      <c r="AC74" s="17" t="s">
        <v>655</v>
      </c>
      <c r="AD74" s="17" t="s">
        <v>671</v>
      </c>
      <c r="AE74" s="17">
        <v>4.0</v>
      </c>
      <c r="AF74" s="17" t="s">
        <v>679</v>
      </c>
      <c r="AG74" s="13" t="str">
        <f t="shared" si="13"/>
        <v>Без ограничений</v>
      </c>
    </row>
    <row r="75">
      <c r="A75" s="12" t="str">
        <f t="shared" si="1"/>
        <v>074</v>
      </c>
      <c r="B75" s="17" t="s">
        <v>643</v>
      </c>
      <c r="C75" s="13">
        <v>49.0</v>
      </c>
      <c r="D75" s="17" t="s">
        <v>644</v>
      </c>
      <c r="E75" s="17" t="s">
        <v>645</v>
      </c>
      <c r="F75" s="18" t="s">
        <v>659</v>
      </c>
      <c r="G75" s="15" t="str">
        <f t="shared" si="2"/>
        <v>No</v>
      </c>
      <c r="H75" s="16" t="str">
        <f t="shared" si="3"/>
        <v>Центральный Казахстан</v>
      </c>
      <c r="I75" s="17" t="s">
        <v>667</v>
      </c>
      <c r="J75" s="13" t="str">
        <f t="shared" si="4"/>
        <v>Гражданин РК</v>
      </c>
      <c r="K75" s="17" t="s">
        <v>681</v>
      </c>
      <c r="L75" s="13">
        <f t="shared" si="5"/>
        <v>1</v>
      </c>
      <c r="M75" s="13" t="str">
        <f t="shared" si="6"/>
        <v>наемный работник</v>
      </c>
      <c r="N75" s="13" t="str">
        <f t="shared" si="7"/>
        <v>переезд</v>
      </c>
      <c r="O75" s="13" t="str">
        <f t="shared" si="8"/>
        <v>Нет</v>
      </c>
      <c r="P75" s="17" t="s">
        <v>669</v>
      </c>
      <c r="Q75" s="13" t="str">
        <f t="shared" si="9"/>
        <v>Маркетинг</v>
      </c>
      <c r="R75" s="13" t="str">
        <f t="shared" si="10"/>
        <v>Торговля</v>
      </c>
      <c r="S75" s="17" t="s">
        <v>661</v>
      </c>
      <c r="T75" s="17" t="str">
        <f t="shared" si="11"/>
        <v>С родителями</v>
      </c>
      <c r="U75" s="17" t="s">
        <v>661</v>
      </c>
      <c r="V75" s="17" t="s">
        <v>652</v>
      </c>
      <c r="W75" s="17" t="s">
        <v>663</v>
      </c>
      <c r="X75" s="17">
        <v>4000.0</v>
      </c>
      <c r="Y75" s="17" t="s">
        <v>651</v>
      </c>
      <c r="Z75" s="17" t="s">
        <v>651</v>
      </c>
      <c r="AA75" s="17" t="s">
        <v>676</v>
      </c>
      <c r="AB75" s="13" t="str">
        <f t="shared" si="12"/>
        <v>B</v>
      </c>
      <c r="AC75" s="17" t="s">
        <v>661</v>
      </c>
      <c r="AD75" s="17" t="s">
        <v>656</v>
      </c>
      <c r="AE75" s="17">
        <v>8.0</v>
      </c>
      <c r="AF75" s="17" t="s">
        <v>684</v>
      </c>
      <c r="AG75" s="13" t="str">
        <f t="shared" si="13"/>
        <v>Без ограничений</v>
      </c>
    </row>
    <row r="76">
      <c r="A76" s="12" t="str">
        <f t="shared" si="1"/>
        <v>075</v>
      </c>
      <c r="B76" s="17" t="s">
        <v>643</v>
      </c>
      <c r="C76" s="13">
        <v>49.0</v>
      </c>
      <c r="D76" s="17" t="s">
        <v>666</v>
      </c>
      <c r="E76" s="17" t="s">
        <v>646</v>
      </c>
      <c r="F76" s="18" t="s">
        <v>646</v>
      </c>
      <c r="G76" s="15" t="str">
        <f t="shared" si="2"/>
        <v>No</v>
      </c>
      <c r="H76" s="16" t="str">
        <f t="shared" si="3"/>
        <v>Западный Казахстан</v>
      </c>
      <c r="I76" s="17" t="s">
        <v>667</v>
      </c>
      <c r="J76" s="13" t="str">
        <f t="shared" si="4"/>
        <v>Гражданин РК</v>
      </c>
      <c r="K76" s="17" t="s">
        <v>681</v>
      </c>
      <c r="L76" s="13">
        <f t="shared" si="5"/>
        <v>5</v>
      </c>
      <c r="M76" s="13" t="str">
        <f t="shared" si="6"/>
        <v>наемный работник</v>
      </c>
      <c r="N76" s="13" t="str">
        <f t="shared" si="7"/>
        <v>переезд</v>
      </c>
      <c r="O76" s="13" t="str">
        <f t="shared" si="8"/>
        <v>Да</v>
      </c>
      <c r="P76" s="17" t="s">
        <v>660</v>
      </c>
      <c r="Q76" s="13" t="str">
        <f t="shared" si="9"/>
        <v>Маркетинг</v>
      </c>
      <c r="R76" s="13" t="str">
        <f t="shared" si="10"/>
        <v>Торговля</v>
      </c>
      <c r="S76" s="17" t="s">
        <v>661</v>
      </c>
      <c r="T76" s="17" t="str">
        <f t="shared" si="11"/>
        <v>Собственное</v>
      </c>
      <c r="U76" s="17" t="s">
        <v>661</v>
      </c>
      <c r="V76" s="17" t="s">
        <v>652</v>
      </c>
      <c r="W76" s="17" t="s">
        <v>663</v>
      </c>
      <c r="X76" s="17">
        <v>1000.0</v>
      </c>
      <c r="Y76" s="17" t="s">
        <v>651</v>
      </c>
      <c r="Z76" s="17" t="s">
        <v>651</v>
      </c>
      <c r="AA76" s="17" t="s">
        <v>654</v>
      </c>
      <c r="AB76" s="13" t="str">
        <f t="shared" si="12"/>
        <v>B</v>
      </c>
      <c r="AC76" s="17" t="s">
        <v>655</v>
      </c>
      <c r="AD76" s="17" t="s">
        <v>661</v>
      </c>
      <c r="AE76" s="17">
        <v>7.0</v>
      </c>
      <c r="AF76" s="17" t="s">
        <v>679</v>
      </c>
      <c r="AG76" s="13" t="str">
        <f t="shared" si="13"/>
        <v>Без ограничений</v>
      </c>
    </row>
    <row r="77">
      <c r="A77" s="12" t="str">
        <f t="shared" si="1"/>
        <v>076</v>
      </c>
      <c r="B77" s="17" t="s">
        <v>658</v>
      </c>
      <c r="C77" s="17">
        <v>36.0</v>
      </c>
      <c r="D77" s="17" t="s">
        <v>666</v>
      </c>
      <c r="E77" s="17" t="s">
        <v>659</v>
      </c>
      <c r="F77" s="18" t="s">
        <v>646</v>
      </c>
      <c r="G77" s="15" t="str">
        <f t="shared" si="2"/>
        <v>Advanced</v>
      </c>
      <c r="H77" s="16" t="str">
        <f t="shared" si="3"/>
        <v>Южный Казахстан</v>
      </c>
      <c r="I77" s="17" t="s">
        <v>667</v>
      </c>
      <c r="J77" s="13" t="str">
        <f t="shared" si="4"/>
        <v>Гражданин РК</v>
      </c>
      <c r="K77" s="17" t="s">
        <v>681</v>
      </c>
      <c r="L77" s="13">
        <f t="shared" si="5"/>
        <v>3</v>
      </c>
      <c r="M77" s="13" t="str">
        <f t="shared" si="6"/>
        <v>самозанятый</v>
      </c>
      <c r="N77" s="13" t="str">
        <f t="shared" si="7"/>
        <v>рождение ребенка</v>
      </c>
      <c r="O77" s="13" t="str">
        <f t="shared" si="8"/>
        <v>Только за счет компании</v>
      </c>
      <c r="P77" s="17" t="s">
        <v>649</v>
      </c>
      <c r="Q77" s="13" t="str">
        <f t="shared" si="9"/>
        <v>Логистика</v>
      </c>
      <c r="R77" s="13" t="str">
        <f t="shared" si="10"/>
        <v>Транспорт</v>
      </c>
      <c r="S77" s="17" t="s">
        <v>661</v>
      </c>
      <c r="T77" s="17" t="str">
        <f t="shared" si="11"/>
        <v>Аренда</v>
      </c>
      <c r="U77" s="17" t="s">
        <v>661</v>
      </c>
      <c r="V77" s="17" t="s">
        <v>662</v>
      </c>
      <c r="W77" s="17" t="s">
        <v>682</v>
      </c>
      <c r="X77" s="17">
        <v>1000.0</v>
      </c>
      <c r="Y77" s="17" t="s">
        <v>651</v>
      </c>
      <c r="Z77" s="17" t="s">
        <v>661</v>
      </c>
      <c r="AA77" s="17" t="s">
        <v>664</v>
      </c>
      <c r="AB77" s="13" t="str">
        <f t="shared" si="12"/>
        <v>A</v>
      </c>
      <c r="AC77" s="17" t="s">
        <v>661</v>
      </c>
      <c r="AD77" s="17" t="s">
        <v>677</v>
      </c>
      <c r="AE77" s="17">
        <v>5.0</v>
      </c>
      <c r="AF77" s="17" t="s">
        <v>686</v>
      </c>
      <c r="AG77" s="13" t="str">
        <f t="shared" si="13"/>
        <v>Без ограничений</v>
      </c>
    </row>
    <row r="78">
      <c r="A78" s="12" t="str">
        <f t="shared" si="1"/>
        <v>077</v>
      </c>
      <c r="B78" s="17" t="s">
        <v>643</v>
      </c>
      <c r="C78" s="17">
        <v>60.0</v>
      </c>
      <c r="D78" s="17" t="s">
        <v>644</v>
      </c>
      <c r="E78" s="17" t="s">
        <v>646</v>
      </c>
      <c r="F78" s="18" t="s">
        <v>646</v>
      </c>
      <c r="G78" s="15" t="str">
        <f t="shared" si="2"/>
        <v>Advanced</v>
      </c>
      <c r="H78" s="16" t="str">
        <f t="shared" si="3"/>
        <v>Северный Казахстан</v>
      </c>
      <c r="I78" s="17" t="s">
        <v>647</v>
      </c>
      <c r="J78" s="13" t="str">
        <f t="shared" si="4"/>
        <v>Гражданин РК</v>
      </c>
      <c r="K78" s="17" t="s">
        <v>668</v>
      </c>
      <c r="L78" s="13">
        <f t="shared" si="5"/>
        <v>0</v>
      </c>
      <c r="M78" s="13" t="str">
        <f t="shared" si="6"/>
        <v>пенсионер</v>
      </c>
      <c r="N78" s="13" t="str">
        <f t="shared" si="7"/>
        <v>свадьба</v>
      </c>
      <c r="O78" s="13" t="str">
        <f t="shared" si="8"/>
        <v>Нет</v>
      </c>
      <c r="P78" s="17" t="s">
        <v>678</v>
      </c>
      <c r="Q78" s="13" t="str">
        <f t="shared" si="9"/>
        <v>Юриспруденция</v>
      </c>
      <c r="R78" s="13" t="str">
        <f t="shared" si="10"/>
        <v>Услуги</v>
      </c>
      <c r="S78" s="17" t="s">
        <v>674</v>
      </c>
      <c r="T78" s="17" t="str">
        <f t="shared" si="11"/>
        <v>Аренда</v>
      </c>
      <c r="U78" s="17" t="s">
        <v>661</v>
      </c>
      <c r="V78" s="17" t="s">
        <v>675</v>
      </c>
      <c r="W78" s="17" t="s">
        <v>653</v>
      </c>
      <c r="X78" s="17">
        <v>800.0</v>
      </c>
      <c r="Y78" s="17" t="s">
        <v>651</v>
      </c>
      <c r="Z78" s="17" t="s">
        <v>651</v>
      </c>
      <c r="AA78" s="17" t="s">
        <v>664</v>
      </c>
      <c r="AB78" s="13" t="str">
        <f t="shared" si="12"/>
        <v>B</v>
      </c>
      <c r="AC78" s="17" t="s">
        <v>655</v>
      </c>
      <c r="AD78" s="17" t="s">
        <v>656</v>
      </c>
      <c r="AE78" s="17">
        <v>9.0</v>
      </c>
      <c r="AF78" s="17" t="s">
        <v>690</v>
      </c>
      <c r="AG78" s="13" t="str">
        <f t="shared" si="13"/>
        <v>Без ограничений</v>
      </c>
    </row>
    <row r="79">
      <c r="A79" s="12" t="str">
        <f t="shared" si="1"/>
        <v>078</v>
      </c>
      <c r="B79" s="17" t="s">
        <v>643</v>
      </c>
      <c r="C79" s="17">
        <v>59.0</v>
      </c>
      <c r="D79" s="17" t="s">
        <v>644</v>
      </c>
      <c r="E79" s="17" t="s">
        <v>645</v>
      </c>
      <c r="F79" s="18" t="s">
        <v>646</v>
      </c>
      <c r="G79" s="15" t="str">
        <f t="shared" si="2"/>
        <v>Advanced</v>
      </c>
      <c r="H79" s="16" t="str">
        <f t="shared" si="3"/>
        <v>Восточный Казахстан</v>
      </c>
      <c r="I79" s="17" t="s">
        <v>673</v>
      </c>
      <c r="J79" s="13" t="str">
        <f t="shared" si="4"/>
        <v>Гражданин РК</v>
      </c>
      <c r="K79" s="17" t="s">
        <v>681</v>
      </c>
      <c r="L79" s="13">
        <f t="shared" si="5"/>
        <v>3</v>
      </c>
      <c r="M79" s="13" t="str">
        <f t="shared" si="6"/>
        <v>наемный работник</v>
      </c>
      <c r="N79" s="13" t="str">
        <f t="shared" si="7"/>
        <v>отпуск за границей</v>
      </c>
      <c r="O79" s="13" t="str">
        <f t="shared" si="8"/>
        <v>Нет</v>
      </c>
      <c r="P79" s="17" t="s">
        <v>660</v>
      </c>
      <c r="Q79" s="13" t="str">
        <f t="shared" si="9"/>
        <v>Логистика</v>
      </c>
      <c r="R79" s="13" t="str">
        <f t="shared" si="10"/>
        <v>Транспорт</v>
      </c>
      <c r="S79" s="17" t="s">
        <v>661</v>
      </c>
      <c r="T79" s="17" t="str">
        <f t="shared" si="11"/>
        <v>Аренда</v>
      </c>
      <c r="U79" s="17" t="s">
        <v>661</v>
      </c>
      <c r="V79" s="17" t="s">
        <v>652</v>
      </c>
      <c r="W79" s="17" t="s">
        <v>670</v>
      </c>
      <c r="X79" s="17">
        <v>4000.0</v>
      </c>
      <c r="Y79" s="17" t="s">
        <v>651</v>
      </c>
      <c r="Z79" s="17" t="s">
        <v>661</v>
      </c>
      <c r="AA79" s="17" t="s">
        <v>654</v>
      </c>
      <c r="AB79" s="13" t="str">
        <f t="shared" si="12"/>
        <v>B</v>
      </c>
      <c r="AC79" s="17" t="s">
        <v>655</v>
      </c>
      <c r="AD79" s="17" t="s">
        <v>661</v>
      </c>
      <c r="AE79" s="17">
        <v>6.0</v>
      </c>
      <c r="AF79" s="17" t="s">
        <v>687</v>
      </c>
      <c r="AG79" s="13" t="str">
        <f t="shared" si="13"/>
        <v>Без ограничений</v>
      </c>
    </row>
    <row r="80">
      <c r="A80" s="12" t="str">
        <f t="shared" si="1"/>
        <v>079</v>
      </c>
      <c r="B80" s="17" t="s">
        <v>643</v>
      </c>
      <c r="C80" s="17">
        <v>29.0</v>
      </c>
      <c r="D80" s="17" t="s">
        <v>666</v>
      </c>
      <c r="E80" s="17" t="s">
        <v>659</v>
      </c>
      <c r="F80" s="18" t="s">
        <v>659</v>
      </c>
      <c r="G80" s="15" t="str">
        <f t="shared" si="2"/>
        <v>No</v>
      </c>
      <c r="H80" s="16" t="str">
        <f t="shared" si="3"/>
        <v>Центральный Казахстан</v>
      </c>
      <c r="I80" s="17" t="s">
        <v>667</v>
      </c>
      <c r="J80" s="13" t="str">
        <f t="shared" si="4"/>
        <v>Гражданин РК</v>
      </c>
      <c r="K80" s="17" t="s">
        <v>648</v>
      </c>
      <c r="L80" s="13">
        <f t="shared" si="5"/>
        <v>1</v>
      </c>
      <c r="M80" s="13" t="str">
        <f t="shared" si="6"/>
        <v>наемный работник</v>
      </c>
      <c r="N80" s="13" t="str">
        <f t="shared" si="7"/>
        <v>отпуск за границей</v>
      </c>
      <c r="O80" s="13" t="str">
        <f t="shared" si="8"/>
        <v>Только за счет компании</v>
      </c>
      <c r="P80" s="17" t="s">
        <v>685</v>
      </c>
      <c r="Q80" s="13" t="str">
        <f t="shared" si="9"/>
        <v>Юриспруденция</v>
      </c>
      <c r="R80" s="13" t="str">
        <f t="shared" si="10"/>
        <v>Услуги</v>
      </c>
      <c r="S80" s="17" t="s">
        <v>674</v>
      </c>
      <c r="T80" s="17" t="str">
        <f t="shared" si="11"/>
        <v>С родителями</v>
      </c>
      <c r="U80" s="17" t="s">
        <v>661</v>
      </c>
      <c r="V80" s="17" t="s">
        <v>652</v>
      </c>
      <c r="W80" s="17" t="s">
        <v>680</v>
      </c>
      <c r="X80" s="17">
        <v>1000.0</v>
      </c>
      <c r="Y80" s="17" t="s">
        <v>651</v>
      </c>
      <c r="Z80" s="17" t="s">
        <v>661</v>
      </c>
      <c r="AA80" s="17" t="s">
        <v>654</v>
      </c>
      <c r="AB80" s="13" t="str">
        <f t="shared" si="12"/>
        <v>B</v>
      </c>
      <c r="AC80" s="17" t="s">
        <v>655</v>
      </c>
      <c r="AD80" s="17" t="s">
        <v>656</v>
      </c>
      <c r="AE80" s="17">
        <v>5.0</v>
      </c>
      <c r="AF80" s="17" t="s">
        <v>672</v>
      </c>
      <c r="AG80" s="13" t="str">
        <f t="shared" si="13"/>
        <v>Без ограничений</v>
      </c>
    </row>
    <row r="81">
      <c r="A81" s="12" t="str">
        <f t="shared" si="1"/>
        <v>080</v>
      </c>
      <c r="B81" s="17" t="s">
        <v>643</v>
      </c>
      <c r="C81" s="17">
        <v>41.0</v>
      </c>
      <c r="D81" s="17" t="s">
        <v>666</v>
      </c>
      <c r="E81" s="17" t="s">
        <v>646</v>
      </c>
      <c r="F81" s="18" t="s">
        <v>645</v>
      </c>
      <c r="G81" s="15" t="str">
        <f t="shared" si="2"/>
        <v>No</v>
      </c>
      <c r="H81" s="16" t="str">
        <f t="shared" si="3"/>
        <v>Южный Казахстан</v>
      </c>
      <c r="I81" s="17" t="s">
        <v>647</v>
      </c>
      <c r="J81" s="13" t="str">
        <f t="shared" si="4"/>
        <v>Гражданин РК</v>
      </c>
      <c r="K81" s="17" t="s">
        <v>681</v>
      </c>
      <c r="L81" s="13">
        <f t="shared" si="5"/>
        <v>1</v>
      </c>
      <c r="M81" s="13" t="str">
        <f t="shared" si="6"/>
        <v>наемный работник</v>
      </c>
      <c r="N81" s="13" t="str">
        <f t="shared" si="7"/>
        <v>переезд</v>
      </c>
      <c r="O81" s="13" t="str">
        <f t="shared" si="8"/>
        <v>Только за счет компании</v>
      </c>
      <c r="P81" s="17" t="s">
        <v>669</v>
      </c>
      <c r="Q81" s="13" t="str">
        <f t="shared" si="9"/>
        <v>Логистика</v>
      </c>
      <c r="R81" s="13" t="str">
        <f t="shared" si="10"/>
        <v>Транспорт</v>
      </c>
      <c r="S81" s="17" t="s">
        <v>661</v>
      </c>
      <c r="T81" s="17" t="str">
        <f t="shared" si="11"/>
        <v>Собственное</v>
      </c>
      <c r="U81" s="17" t="s">
        <v>661</v>
      </c>
      <c r="V81" s="17" t="s">
        <v>652</v>
      </c>
      <c r="W81" s="17" t="s">
        <v>670</v>
      </c>
      <c r="X81" s="17">
        <v>4000.0</v>
      </c>
      <c r="Y81" s="17" t="s">
        <v>651</v>
      </c>
      <c r="Z81" s="17" t="s">
        <v>661</v>
      </c>
      <c r="AA81" s="17" t="s">
        <v>664</v>
      </c>
      <c r="AB81" s="13" t="str">
        <f t="shared" si="12"/>
        <v>Нет</v>
      </c>
      <c r="AC81" s="17" t="s">
        <v>661</v>
      </c>
      <c r="AD81" s="17" t="s">
        <v>661</v>
      </c>
      <c r="AE81" s="17">
        <v>4.0</v>
      </c>
      <c r="AF81" s="17" t="s">
        <v>690</v>
      </c>
      <c r="AG81" s="13" t="str">
        <f t="shared" si="13"/>
        <v>Без ограничений</v>
      </c>
    </row>
    <row r="82">
      <c r="A82" s="12" t="str">
        <f t="shared" si="1"/>
        <v>081</v>
      </c>
      <c r="B82" s="17" t="s">
        <v>658</v>
      </c>
      <c r="C82" s="17">
        <v>54.0</v>
      </c>
      <c r="D82" s="17" t="s">
        <v>666</v>
      </c>
      <c r="E82" s="17" t="s">
        <v>659</v>
      </c>
      <c r="F82" s="18" t="s">
        <v>659</v>
      </c>
      <c r="G82" s="15" t="str">
        <f t="shared" si="2"/>
        <v>Beginner</v>
      </c>
      <c r="H82" s="16" t="str">
        <f t="shared" si="3"/>
        <v>Южный Казахстан</v>
      </c>
      <c r="I82" s="17" t="s">
        <v>667</v>
      </c>
      <c r="J82" s="13" t="str">
        <f t="shared" si="4"/>
        <v>Гражданин РК</v>
      </c>
      <c r="K82" s="17" t="s">
        <v>648</v>
      </c>
      <c r="L82" s="13">
        <f t="shared" si="5"/>
        <v>5</v>
      </c>
      <c r="M82" s="13" t="str">
        <f t="shared" si="6"/>
        <v>безработный</v>
      </c>
      <c r="N82" s="13" t="str">
        <f t="shared" si="7"/>
        <v>отпуск за границей</v>
      </c>
      <c r="O82" s="13" t="str">
        <f t="shared" si="8"/>
        <v>Да</v>
      </c>
      <c r="P82" s="17" t="s">
        <v>669</v>
      </c>
      <c r="Q82" s="13" t="str">
        <f t="shared" si="9"/>
        <v>Логистика</v>
      </c>
      <c r="R82" s="13" t="str">
        <f t="shared" si="10"/>
        <v>Транспорт</v>
      </c>
      <c r="S82" s="17" t="s">
        <v>674</v>
      </c>
      <c r="T82" s="17" t="str">
        <f t="shared" si="11"/>
        <v>Аренда</v>
      </c>
      <c r="U82" s="17" t="s">
        <v>651</v>
      </c>
      <c r="V82" s="17" t="s">
        <v>675</v>
      </c>
      <c r="W82" s="17" t="s">
        <v>653</v>
      </c>
      <c r="X82" s="17">
        <v>800.0</v>
      </c>
      <c r="Y82" s="17" t="s">
        <v>651</v>
      </c>
      <c r="Z82" s="17" t="s">
        <v>661</v>
      </c>
      <c r="AA82" s="17" t="s">
        <v>676</v>
      </c>
      <c r="AB82" s="13" t="str">
        <f t="shared" si="12"/>
        <v>B</v>
      </c>
      <c r="AC82" s="17" t="s">
        <v>655</v>
      </c>
      <c r="AD82" s="17" t="s">
        <v>661</v>
      </c>
      <c r="AE82" s="17">
        <v>5.0</v>
      </c>
      <c r="AF82" s="17" t="s">
        <v>683</v>
      </c>
      <c r="AG82" s="13" t="str">
        <f t="shared" si="13"/>
        <v>Без ограничений</v>
      </c>
    </row>
    <row r="83">
      <c r="A83" s="12" t="str">
        <f t="shared" si="1"/>
        <v>082</v>
      </c>
      <c r="B83" s="17" t="s">
        <v>658</v>
      </c>
      <c r="C83" s="17">
        <v>45.0</v>
      </c>
      <c r="D83" s="17" t="s">
        <v>644</v>
      </c>
      <c r="E83" s="17" t="s">
        <v>645</v>
      </c>
      <c r="F83" s="18" t="s">
        <v>645</v>
      </c>
      <c r="G83" s="15" t="str">
        <f t="shared" si="2"/>
        <v>Intermediate</v>
      </c>
      <c r="H83" s="16" t="str">
        <f t="shared" si="3"/>
        <v>Центральный Казахстан</v>
      </c>
      <c r="I83" s="17" t="s">
        <v>673</v>
      </c>
      <c r="J83" s="13" t="str">
        <f t="shared" si="4"/>
        <v>Гражданин РК</v>
      </c>
      <c r="K83" s="17" t="s">
        <v>681</v>
      </c>
      <c r="L83" s="13">
        <f t="shared" si="5"/>
        <v>1</v>
      </c>
      <c r="M83" s="13" t="str">
        <f t="shared" si="6"/>
        <v>наемный работник</v>
      </c>
      <c r="N83" s="13" t="str">
        <f t="shared" si="7"/>
        <v>кредит</v>
      </c>
      <c r="O83" s="13" t="str">
        <f t="shared" si="8"/>
        <v>Да</v>
      </c>
      <c r="P83" s="17" t="s">
        <v>678</v>
      </c>
      <c r="Q83" s="13" t="str">
        <f t="shared" si="9"/>
        <v>Дизайн</v>
      </c>
      <c r="R83" s="13" t="str">
        <f t="shared" si="10"/>
        <v>Услуги</v>
      </c>
      <c r="S83" s="17" t="s">
        <v>674</v>
      </c>
      <c r="T83" s="17" t="str">
        <f t="shared" si="11"/>
        <v>Собственное</v>
      </c>
      <c r="U83" s="17" t="s">
        <v>651</v>
      </c>
      <c r="V83" s="17" t="s">
        <v>652</v>
      </c>
      <c r="W83" s="17" t="s">
        <v>680</v>
      </c>
      <c r="X83" s="17">
        <v>1500.0</v>
      </c>
      <c r="Y83" s="17" t="s">
        <v>651</v>
      </c>
      <c r="Z83" s="17" t="s">
        <v>661</v>
      </c>
      <c r="AA83" s="17" t="s">
        <v>664</v>
      </c>
      <c r="AB83" s="13" t="str">
        <f t="shared" si="12"/>
        <v>Нет</v>
      </c>
      <c r="AC83" s="17" t="s">
        <v>661</v>
      </c>
      <c r="AD83" s="17" t="s">
        <v>661</v>
      </c>
      <c r="AE83" s="17">
        <v>8.0</v>
      </c>
      <c r="AF83" s="17" t="s">
        <v>690</v>
      </c>
      <c r="AG83" s="13" t="str">
        <f t="shared" si="13"/>
        <v>Без ограничений</v>
      </c>
    </row>
    <row r="84">
      <c r="A84" s="12" t="str">
        <f t="shared" si="1"/>
        <v>083</v>
      </c>
      <c r="B84" s="17" t="s">
        <v>658</v>
      </c>
      <c r="C84" s="17">
        <v>56.0</v>
      </c>
      <c r="D84" s="17" t="s">
        <v>644</v>
      </c>
      <c r="E84" s="17" t="s">
        <v>659</v>
      </c>
      <c r="F84" s="18" t="s">
        <v>646</v>
      </c>
      <c r="G84" s="15" t="str">
        <f t="shared" si="2"/>
        <v>Beginner</v>
      </c>
      <c r="H84" s="16" t="str">
        <f t="shared" si="3"/>
        <v>Северный Казахстан</v>
      </c>
      <c r="I84" s="17" t="s">
        <v>647</v>
      </c>
      <c r="J84" s="13" t="str">
        <f t="shared" si="4"/>
        <v>Гражданин РК</v>
      </c>
      <c r="K84" s="17" t="s">
        <v>648</v>
      </c>
      <c r="L84" s="13">
        <f t="shared" si="5"/>
        <v>5</v>
      </c>
      <c r="M84" s="13" t="str">
        <f t="shared" si="6"/>
        <v>безработный</v>
      </c>
      <c r="N84" s="13" t="str">
        <f t="shared" si="7"/>
        <v>отпуск за границей</v>
      </c>
      <c r="O84" s="13" t="str">
        <f t="shared" si="8"/>
        <v>Нет</v>
      </c>
      <c r="P84" s="17" t="s">
        <v>649</v>
      </c>
      <c r="Q84" s="13" t="str">
        <f t="shared" si="9"/>
        <v>Медицина</v>
      </c>
      <c r="R84" s="13" t="str">
        <f t="shared" si="10"/>
        <v>Здравоохранение</v>
      </c>
      <c r="S84" s="17" t="s">
        <v>650</v>
      </c>
      <c r="T84" s="17" t="str">
        <f t="shared" si="11"/>
        <v>Собственное</v>
      </c>
      <c r="U84" s="17" t="s">
        <v>651</v>
      </c>
      <c r="V84" s="17" t="s">
        <v>662</v>
      </c>
      <c r="W84" s="17" t="s">
        <v>682</v>
      </c>
      <c r="X84" s="17">
        <v>4000.0</v>
      </c>
      <c r="Y84" s="17" t="s">
        <v>651</v>
      </c>
      <c r="Z84" s="17" t="s">
        <v>651</v>
      </c>
      <c r="AA84" s="17" t="s">
        <v>654</v>
      </c>
      <c r="AB84" s="13" t="str">
        <f t="shared" si="12"/>
        <v>C</v>
      </c>
      <c r="AC84" s="17" t="s">
        <v>661</v>
      </c>
      <c r="AD84" s="17" t="s">
        <v>656</v>
      </c>
      <c r="AE84" s="17">
        <v>7.0</v>
      </c>
      <c r="AF84" s="17" t="s">
        <v>690</v>
      </c>
      <c r="AG84" s="13" t="str">
        <f t="shared" si="13"/>
        <v>Без ограничений</v>
      </c>
    </row>
    <row r="85">
      <c r="A85" s="12" t="str">
        <f t="shared" si="1"/>
        <v>084</v>
      </c>
      <c r="B85" s="17" t="s">
        <v>658</v>
      </c>
      <c r="C85" s="17">
        <v>34.0</v>
      </c>
      <c r="D85" s="17" t="s">
        <v>644</v>
      </c>
      <c r="E85" s="17" t="s">
        <v>646</v>
      </c>
      <c r="F85" s="18" t="s">
        <v>659</v>
      </c>
      <c r="G85" s="15" t="str">
        <f t="shared" si="2"/>
        <v>Intermediate</v>
      </c>
      <c r="H85" s="16" t="str">
        <f t="shared" si="3"/>
        <v>Центральный Казахстан</v>
      </c>
      <c r="I85" s="17" t="s">
        <v>647</v>
      </c>
      <c r="J85" s="13" t="str">
        <f t="shared" si="4"/>
        <v>Гражданин РК</v>
      </c>
      <c r="K85" s="17" t="s">
        <v>681</v>
      </c>
      <c r="L85" s="13">
        <f t="shared" si="5"/>
        <v>3</v>
      </c>
      <c r="M85" s="13" t="str">
        <f t="shared" si="6"/>
        <v>наемный работник</v>
      </c>
      <c r="N85" s="13" t="str">
        <f t="shared" si="7"/>
        <v>рождение ребенка</v>
      </c>
      <c r="O85" s="13" t="str">
        <f t="shared" si="8"/>
        <v>Да</v>
      </c>
      <c r="P85" s="17" t="s">
        <v>649</v>
      </c>
      <c r="Q85" s="13" t="str">
        <f t="shared" si="9"/>
        <v>Маркетинг</v>
      </c>
      <c r="R85" s="13" t="str">
        <f t="shared" si="10"/>
        <v>Торговля</v>
      </c>
      <c r="S85" s="17" t="s">
        <v>661</v>
      </c>
      <c r="T85" s="17" t="str">
        <f t="shared" si="11"/>
        <v>С родителями</v>
      </c>
      <c r="U85" s="17" t="s">
        <v>651</v>
      </c>
      <c r="V85" s="17" t="s">
        <v>675</v>
      </c>
      <c r="W85" s="17" t="s">
        <v>670</v>
      </c>
      <c r="X85" s="17">
        <v>2500.0</v>
      </c>
      <c r="Y85" s="17" t="s">
        <v>651</v>
      </c>
      <c r="Z85" s="17" t="s">
        <v>661</v>
      </c>
      <c r="AA85" s="17" t="s">
        <v>664</v>
      </c>
      <c r="AB85" s="13" t="str">
        <f t="shared" si="12"/>
        <v>B</v>
      </c>
      <c r="AC85" s="17" t="s">
        <v>655</v>
      </c>
      <c r="AD85" s="17" t="s">
        <v>656</v>
      </c>
      <c r="AE85" s="17">
        <v>5.0</v>
      </c>
      <c r="AF85" s="17" t="s">
        <v>672</v>
      </c>
      <c r="AG85" s="13" t="str">
        <f t="shared" si="13"/>
        <v>Аллергия</v>
      </c>
    </row>
    <row r="86">
      <c r="A86" s="12" t="str">
        <f t="shared" si="1"/>
        <v>085</v>
      </c>
      <c r="B86" s="17" t="s">
        <v>643</v>
      </c>
      <c r="C86" s="17">
        <v>20.0</v>
      </c>
      <c r="D86" s="17" t="s">
        <v>644</v>
      </c>
      <c r="E86" s="17" t="s">
        <v>659</v>
      </c>
      <c r="F86" s="18" t="s">
        <v>646</v>
      </c>
      <c r="G86" s="15" t="str">
        <f t="shared" si="2"/>
        <v>No</v>
      </c>
      <c r="H86" s="16" t="str">
        <f t="shared" si="3"/>
        <v>Восточный Казахстан</v>
      </c>
      <c r="I86" s="17" t="s">
        <v>667</v>
      </c>
      <c r="J86" s="13" t="str">
        <f t="shared" si="4"/>
        <v>Гражданин РК</v>
      </c>
      <c r="K86" s="17" t="s">
        <v>681</v>
      </c>
      <c r="L86" s="13">
        <f t="shared" si="5"/>
        <v>1</v>
      </c>
      <c r="M86" s="13" t="str">
        <f t="shared" si="6"/>
        <v>студент</v>
      </c>
      <c r="N86" s="13" t="str">
        <f t="shared" si="7"/>
        <v>кредит</v>
      </c>
      <c r="O86" s="13" t="str">
        <f t="shared" si="8"/>
        <v>Да</v>
      </c>
      <c r="P86" s="17" t="s">
        <v>685</v>
      </c>
      <c r="Q86" s="13" t="str">
        <f t="shared" si="9"/>
        <v>Сервис</v>
      </c>
      <c r="R86" s="13" t="str">
        <f t="shared" si="10"/>
        <v>Услуги</v>
      </c>
      <c r="S86" s="17" t="s">
        <v>674</v>
      </c>
      <c r="T86" s="17" t="str">
        <f t="shared" si="11"/>
        <v>Аренда</v>
      </c>
      <c r="U86" s="17" t="s">
        <v>661</v>
      </c>
      <c r="V86" s="17" t="s">
        <v>675</v>
      </c>
      <c r="W86" s="17" t="s">
        <v>670</v>
      </c>
      <c r="X86" s="17">
        <v>1000.0</v>
      </c>
      <c r="Y86" s="17" t="s">
        <v>651</v>
      </c>
      <c r="Z86" s="17" t="s">
        <v>651</v>
      </c>
      <c r="AA86" s="17" t="s">
        <v>654</v>
      </c>
      <c r="AB86" s="13" t="str">
        <f t="shared" si="12"/>
        <v>B</v>
      </c>
      <c r="AC86" s="17" t="s">
        <v>655</v>
      </c>
      <c r="AD86" s="17" t="s">
        <v>677</v>
      </c>
      <c r="AE86" s="17">
        <v>5.0</v>
      </c>
      <c r="AF86" s="17" t="s">
        <v>684</v>
      </c>
      <c r="AG86" s="13" t="str">
        <f t="shared" si="13"/>
        <v>Аллергия</v>
      </c>
    </row>
    <row r="87">
      <c r="A87" s="12" t="str">
        <f t="shared" si="1"/>
        <v>086</v>
      </c>
      <c r="B87" s="17" t="s">
        <v>643</v>
      </c>
      <c r="C87" s="17">
        <v>62.0</v>
      </c>
      <c r="D87" s="17" t="s">
        <v>666</v>
      </c>
      <c r="E87" s="17" t="s">
        <v>645</v>
      </c>
      <c r="F87" s="18" t="s">
        <v>646</v>
      </c>
      <c r="G87" s="15" t="str">
        <f t="shared" si="2"/>
        <v>Intermediate</v>
      </c>
      <c r="H87" s="16" t="str">
        <f t="shared" si="3"/>
        <v>Северный Казахстан</v>
      </c>
      <c r="I87" s="17" t="s">
        <v>647</v>
      </c>
      <c r="J87" s="13" t="str">
        <f t="shared" si="4"/>
        <v>Гражданин РК</v>
      </c>
      <c r="K87" s="17" t="s">
        <v>648</v>
      </c>
      <c r="L87" s="13">
        <f t="shared" si="5"/>
        <v>3</v>
      </c>
      <c r="M87" s="13" t="str">
        <f t="shared" si="6"/>
        <v>пенсионер</v>
      </c>
      <c r="N87" s="13" t="str">
        <f t="shared" si="7"/>
        <v>покупка авто</v>
      </c>
      <c r="O87" s="13" t="str">
        <f t="shared" si="8"/>
        <v>Нет</v>
      </c>
      <c r="P87" s="17" t="s">
        <v>685</v>
      </c>
      <c r="Q87" s="13" t="str">
        <f t="shared" si="9"/>
        <v>Сервис</v>
      </c>
      <c r="R87" s="13" t="str">
        <f t="shared" si="10"/>
        <v>Услуги</v>
      </c>
      <c r="S87" s="17" t="s">
        <v>661</v>
      </c>
      <c r="T87" s="17" t="str">
        <f t="shared" si="11"/>
        <v>Аренда</v>
      </c>
      <c r="U87" s="17" t="s">
        <v>651</v>
      </c>
      <c r="V87" s="17" t="s">
        <v>675</v>
      </c>
      <c r="W87" s="17" t="s">
        <v>680</v>
      </c>
      <c r="X87" s="17">
        <v>4000.0</v>
      </c>
      <c r="Y87" s="17" t="s">
        <v>651</v>
      </c>
      <c r="Z87" s="17" t="s">
        <v>661</v>
      </c>
      <c r="AA87" s="17" t="s">
        <v>654</v>
      </c>
      <c r="AB87" s="13" t="str">
        <f t="shared" si="12"/>
        <v>B</v>
      </c>
      <c r="AC87" s="17" t="s">
        <v>661</v>
      </c>
      <c r="AD87" s="17" t="s">
        <v>671</v>
      </c>
      <c r="AE87" s="17">
        <v>9.0</v>
      </c>
      <c r="AF87" s="17" t="s">
        <v>684</v>
      </c>
      <c r="AG87" s="13" t="str">
        <f t="shared" si="13"/>
        <v>Проблемы со спиной</v>
      </c>
    </row>
    <row r="88">
      <c r="A88" s="12" t="str">
        <f t="shared" si="1"/>
        <v>087</v>
      </c>
      <c r="B88" s="17" t="s">
        <v>643</v>
      </c>
      <c r="C88" s="17">
        <v>47.0</v>
      </c>
      <c r="D88" s="17" t="s">
        <v>666</v>
      </c>
      <c r="E88" s="17" t="s">
        <v>659</v>
      </c>
      <c r="F88" s="18" t="s">
        <v>659</v>
      </c>
      <c r="G88" s="15" t="str">
        <f t="shared" si="2"/>
        <v>Intermediate</v>
      </c>
      <c r="H88" s="16" t="str">
        <f t="shared" si="3"/>
        <v>Южный Казахстан</v>
      </c>
      <c r="I88" s="17" t="s">
        <v>673</v>
      </c>
      <c r="J88" s="13" t="str">
        <f t="shared" si="4"/>
        <v>Гражданин РК</v>
      </c>
      <c r="K88" s="17" t="s">
        <v>668</v>
      </c>
      <c r="L88" s="13">
        <f t="shared" si="5"/>
        <v>0</v>
      </c>
      <c r="M88" s="13" t="str">
        <f t="shared" si="6"/>
        <v>самозанятый</v>
      </c>
      <c r="N88" s="13" t="str">
        <f t="shared" si="7"/>
        <v>отпуск за границей</v>
      </c>
      <c r="O88" s="13" t="str">
        <f t="shared" si="8"/>
        <v>Да</v>
      </c>
      <c r="P88" s="17" t="s">
        <v>660</v>
      </c>
      <c r="Q88" s="13" t="str">
        <f t="shared" si="9"/>
        <v>Экономика</v>
      </c>
      <c r="R88" s="13" t="str">
        <f t="shared" si="10"/>
        <v>Финансы</v>
      </c>
      <c r="S88" s="17" t="s">
        <v>674</v>
      </c>
      <c r="T88" s="17" t="str">
        <f t="shared" si="11"/>
        <v>Аренда</v>
      </c>
      <c r="U88" s="17" t="s">
        <v>651</v>
      </c>
      <c r="V88" s="17" t="s">
        <v>675</v>
      </c>
      <c r="W88" s="17" t="s">
        <v>653</v>
      </c>
      <c r="X88" s="17">
        <v>800.0</v>
      </c>
      <c r="Y88" s="17" t="s">
        <v>651</v>
      </c>
      <c r="Z88" s="17" t="s">
        <v>651</v>
      </c>
      <c r="AA88" s="17" t="s">
        <v>676</v>
      </c>
      <c r="AB88" s="13" t="str">
        <f t="shared" si="12"/>
        <v>B</v>
      </c>
      <c r="AC88" s="17" t="s">
        <v>655</v>
      </c>
      <c r="AD88" s="17" t="s">
        <v>677</v>
      </c>
      <c r="AE88" s="17">
        <v>3.0</v>
      </c>
      <c r="AF88" s="17" t="s">
        <v>657</v>
      </c>
      <c r="AG88" s="13" t="str">
        <f t="shared" si="13"/>
        <v>Зрение</v>
      </c>
    </row>
    <row r="89">
      <c r="A89" s="12" t="str">
        <f t="shared" si="1"/>
        <v>088</v>
      </c>
      <c r="B89" s="17" t="s">
        <v>658</v>
      </c>
      <c r="C89" s="17">
        <v>51.0</v>
      </c>
      <c r="D89" s="17" t="s">
        <v>666</v>
      </c>
      <c r="E89" s="17" t="s">
        <v>645</v>
      </c>
      <c r="F89" s="18" t="s">
        <v>659</v>
      </c>
      <c r="G89" s="15" t="str">
        <f t="shared" si="2"/>
        <v>Beginner</v>
      </c>
      <c r="H89" s="16" t="str">
        <f t="shared" si="3"/>
        <v>Западный Казахстан</v>
      </c>
      <c r="I89" s="17" t="s">
        <v>647</v>
      </c>
      <c r="J89" s="13" t="str">
        <f t="shared" si="4"/>
        <v>Гражданин РК</v>
      </c>
      <c r="K89" s="17" t="s">
        <v>668</v>
      </c>
      <c r="L89" s="13">
        <f t="shared" si="5"/>
        <v>0</v>
      </c>
      <c r="M89" s="13" t="str">
        <f t="shared" si="6"/>
        <v>самозанятый</v>
      </c>
      <c r="N89" s="13" t="str">
        <f t="shared" si="7"/>
        <v>свадьба</v>
      </c>
      <c r="O89" s="13" t="str">
        <f t="shared" si="8"/>
        <v>Да</v>
      </c>
      <c r="P89" s="17" t="s">
        <v>678</v>
      </c>
      <c r="Q89" s="13" t="str">
        <f t="shared" si="9"/>
        <v>Медицина</v>
      </c>
      <c r="R89" s="13" t="str">
        <f t="shared" si="10"/>
        <v>Здравоохранение</v>
      </c>
      <c r="S89" s="17" t="s">
        <v>661</v>
      </c>
      <c r="T89" s="17" t="str">
        <f t="shared" si="11"/>
        <v>Аренда</v>
      </c>
      <c r="U89" s="17" t="s">
        <v>651</v>
      </c>
      <c r="V89" s="17" t="s">
        <v>652</v>
      </c>
      <c r="W89" s="17" t="s">
        <v>663</v>
      </c>
      <c r="X89" s="17">
        <v>1500.0</v>
      </c>
      <c r="Y89" s="17" t="s">
        <v>651</v>
      </c>
      <c r="Z89" s="17" t="s">
        <v>661</v>
      </c>
      <c r="AA89" s="17" t="s">
        <v>664</v>
      </c>
      <c r="AB89" s="13" t="str">
        <f t="shared" si="12"/>
        <v>Нет</v>
      </c>
      <c r="AC89" s="17" t="s">
        <v>661</v>
      </c>
      <c r="AD89" s="17" t="s">
        <v>677</v>
      </c>
      <c r="AE89" s="17">
        <v>7.0</v>
      </c>
      <c r="AF89" s="17" t="s">
        <v>687</v>
      </c>
      <c r="AG89" s="13" t="str">
        <f t="shared" si="13"/>
        <v>Зрение</v>
      </c>
    </row>
    <row r="90">
      <c r="A90" s="12" t="str">
        <f t="shared" si="1"/>
        <v>089</v>
      </c>
      <c r="B90" s="17" t="s">
        <v>658</v>
      </c>
      <c r="C90" s="17">
        <v>65.0</v>
      </c>
      <c r="D90" s="17" t="s">
        <v>644</v>
      </c>
      <c r="E90" s="17" t="s">
        <v>645</v>
      </c>
      <c r="F90" s="18" t="s">
        <v>646</v>
      </c>
      <c r="G90" s="15" t="str">
        <f t="shared" si="2"/>
        <v>Intermediate</v>
      </c>
      <c r="H90" s="16" t="str">
        <f t="shared" si="3"/>
        <v>Западный Казахстан</v>
      </c>
      <c r="I90" s="17" t="s">
        <v>667</v>
      </c>
      <c r="J90" s="13" t="str">
        <f t="shared" si="4"/>
        <v>Гражданин РК</v>
      </c>
      <c r="K90" s="17" t="s">
        <v>668</v>
      </c>
      <c r="L90" s="13">
        <f t="shared" si="5"/>
        <v>0</v>
      </c>
      <c r="M90" s="13" t="str">
        <f t="shared" si="6"/>
        <v>пенсионер</v>
      </c>
      <c r="N90" s="13" t="str">
        <f t="shared" si="7"/>
        <v>кредит</v>
      </c>
      <c r="O90" s="13" t="str">
        <f t="shared" si="8"/>
        <v>Да</v>
      </c>
      <c r="P90" s="17" t="s">
        <v>660</v>
      </c>
      <c r="Q90" s="13" t="str">
        <f t="shared" si="9"/>
        <v>Строительство</v>
      </c>
      <c r="R90" s="13" t="str">
        <f t="shared" si="10"/>
        <v>Производство</v>
      </c>
      <c r="S90" s="17" t="s">
        <v>650</v>
      </c>
      <c r="T90" s="17" t="str">
        <f t="shared" si="11"/>
        <v>С родителями</v>
      </c>
      <c r="U90" s="17" t="s">
        <v>661</v>
      </c>
      <c r="V90" s="17" t="s">
        <v>675</v>
      </c>
      <c r="W90" s="17" t="s">
        <v>670</v>
      </c>
      <c r="X90" s="17">
        <v>1500.0</v>
      </c>
      <c r="Y90" s="17" t="s">
        <v>651</v>
      </c>
      <c r="Z90" s="17" t="s">
        <v>651</v>
      </c>
      <c r="AA90" s="17" t="s">
        <v>664</v>
      </c>
      <c r="AB90" s="13" t="str">
        <f t="shared" si="12"/>
        <v>A</v>
      </c>
      <c r="AC90" s="17" t="s">
        <v>661</v>
      </c>
      <c r="AD90" s="17" t="s">
        <v>677</v>
      </c>
      <c r="AE90" s="17">
        <v>10.0</v>
      </c>
      <c r="AF90" s="17" t="s">
        <v>690</v>
      </c>
      <c r="AG90" s="13" t="str">
        <f t="shared" si="13"/>
        <v>Слух</v>
      </c>
    </row>
    <row r="91">
      <c r="A91" s="12" t="str">
        <f t="shared" si="1"/>
        <v>090</v>
      </c>
      <c r="B91" s="17" t="s">
        <v>643</v>
      </c>
      <c r="C91" s="17">
        <v>59.0</v>
      </c>
      <c r="D91" s="17" t="s">
        <v>666</v>
      </c>
      <c r="E91" s="17" t="s">
        <v>646</v>
      </c>
      <c r="F91" s="18" t="s">
        <v>659</v>
      </c>
      <c r="G91" s="15" t="str">
        <f t="shared" si="2"/>
        <v>Intermediate</v>
      </c>
      <c r="H91" s="16" t="str">
        <f t="shared" si="3"/>
        <v>Западный Казахстан</v>
      </c>
      <c r="I91" s="17" t="s">
        <v>667</v>
      </c>
      <c r="J91" s="13" t="str">
        <f t="shared" si="4"/>
        <v>Гражданин РК</v>
      </c>
      <c r="K91" s="17" t="s">
        <v>668</v>
      </c>
      <c r="L91" s="13">
        <f t="shared" si="5"/>
        <v>0</v>
      </c>
      <c r="M91" s="13" t="str">
        <f t="shared" si="6"/>
        <v>самозанятый</v>
      </c>
      <c r="N91" s="13" t="str">
        <f t="shared" si="7"/>
        <v>ремонт</v>
      </c>
      <c r="O91" s="13" t="str">
        <f t="shared" si="8"/>
        <v>Нет</v>
      </c>
      <c r="P91" s="17" t="s">
        <v>649</v>
      </c>
      <c r="Q91" s="13" t="str">
        <f t="shared" si="9"/>
        <v>Маркетинг</v>
      </c>
      <c r="R91" s="13" t="str">
        <f t="shared" si="10"/>
        <v>Торговля</v>
      </c>
      <c r="S91" s="17" t="s">
        <v>674</v>
      </c>
      <c r="T91" s="17" t="str">
        <f t="shared" si="11"/>
        <v>Собственное</v>
      </c>
      <c r="U91" s="17" t="s">
        <v>661</v>
      </c>
      <c r="V91" s="17" t="s">
        <v>675</v>
      </c>
      <c r="W91" s="17" t="s">
        <v>653</v>
      </c>
      <c r="X91" s="17">
        <v>4000.0</v>
      </c>
      <c r="Y91" s="17" t="s">
        <v>651</v>
      </c>
      <c r="Z91" s="17" t="s">
        <v>661</v>
      </c>
      <c r="AA91" s="17" t="s">
        <v>676</v>
      </c>
      <c r="AB91" s="13" t="str">
        <f t="shared" si="12"/>
        <v>B</v>
      </c>
      <c r="AC91" s="17" t="s">
        <v>655</v>
      </c>
      <c r="AD91" s="17" t="s">
        <v>677</v>
      </c>
      <c r="AE91" s="17">
        <v>8.0</v>
      </c>
      <c r="AF91" s="17" t="s">
        <v>683</v>
      </c>
      <c r="AG91" s="13" t="str">
        <f t="shared" si="13"/>
        <v>Без ограничений</v>
      </c>
    </row>
    <row r="92">
      <c r="A92" s="12" t="str">
        <f t="shared" si="1"/>
        <v>091</v>
      </c>
      <c r="B92" s="17" t="s">
        <v>643</v>
      </c>
      <c r="C92" s="17">
        <v>54.0</v>
      </c>
      <c r="D92" s="17" t="s">
        <v>666</v>
      </c>
      <c r="E92" s="17" t="s">
        <v>645</v>
      </c>
      <c r="F92" s="18" t="s">
        <v>645</v>
      </c>
      <c r="G92" s="15" t="str">
        <f t="shared" si="2"/>
        <v>Intermediate</v>
      </c>
      <c r="H92" s="16" t="str">
        <f t="shared" si="3"/>
        <v>Южный Казахстан</v>
      </c>
      <c r="I92" s="17" t="s">
        <v>673</v>
      </c>
      <c r="J92" s="13" t="str">
        <f t="shared" si="4"/>
        <v>Гражданин РК</v>
      </c>
      <c r="K92" s="17" t="s">
        <v>668</v>
      </c>
      <c r="L92" s="13">
        <f t="shared" si="5"/>
        <v>0</v>
      </c>
      <c r="M92" s="13" t="str">
        <f t="shared" si="6"/>
        <v>самозанятый</v>
      </c>
      <c r="N92" s="13" t="str">
        <f t="shared" si="7"/>
        <v>переезд</v>
      </c>
      <c r="O92" s="13" t="str">
        <f t="shared" si="8"/>
        <v>Нет</v>
      </c>
      <c r="P92" s="17" t="s">
        <v>649</v>
      </c>
      <c r="Q92" s="13" t="str">
        <f t="shared" si="9"/>
        <v>IT</v>
      </c>
      <c r="R92" s="13" t="str">
        <f t="shared" si="10"/>
        <v>IT</v>
      </c>
      <c r="S92" s="17" t="s">
        <v>661</v>
      </c>
      <c r="T92" s="17" t="str">
        <f t="shared" si="11"/>
        <v>С родителями</v>
      </c>
      <c r="U92" s="17" t="s">
        <v>661</v>
      </c>
      <c r="V92" s="17" t="s">
        <v>675</v>
      </c>
      <c r="W92" s="17" t="s">
        <v>670</v>
      </c>
      <c r="X92" s="17">
        <v>1000.0</v>
      </c>
      <c r="Y92" s="17" t="s">
        <v>651</v>
      </c>
      <c r="Z92" s="17" t="s">
        <v>661</v>
      </c>
      <c r="AA92" s="17" t="s">
        <v>664</v>
      </c>
      <c r="AB92" s="13" t="str">
        <f t="shared" si="12"/>
        <v>D</v>
      </c>
      <c r="AC92" s="17" t="s">
        <v>661</v>
      </c>
      <c r="AD92" s="17" t="s">
        <v>671</v>
      </c>
      <c r="AE92" s="17">
        <v>8.0</v>
      </c>
      <c r="AF92" s="17" t="s">
        <v>687</v>
      </c>
      <c r="AG92" s="13" t="str">
        <f t="shared" si="13"/>
        <v>Без ограничений</v>
      </c>
    </row>
    <row r="93">
      <c r="A93" s="12" t="str">
        <f t="shared" si="1"/>
        <v>092</v>
      </c>
      <c r="B93" s="17" t="s">
        <v>643</v>
      </c>
      <c r="C93" s="17">
        <v>29.0</v>
      </c>
      <c r="D93" s="17" t="s">
        <v>666</v>
      </c>
      <c r="E93" s="17" t="s">
        <v>645</v>
      </c>
      <c r="F93" s="18" t="s">
        <v>646</v>
      </c>
      <c r="G93" s="15" t="str">
        <f t="shared" si="2"/>
        <v>No</v>
      </c>
      <c r="H93" s="16" t="str">
        <f t="shared" si="3"/>
        <v>Южный Казахстан</v>
      </c>
      <c r="I93" s="17" t="s">
        <v>647</v>
      </c>
      <c r="J93" s="13" t="str">
        <f t="shared" si="4"/>
        <v>Гражданин РК</v>
      </c>
      <c r="K93" s="17" t="s">
        <v>668</v>
      </c>
      <c r="L93" s="13">
        <f t="shared" si="5"/>
        <v>0</v>
      </c>
      <c r="M93" s="13" t="str">
        <f t="shared" si="6"/>
        <v>наемный работник</v>
      </c>
      <c r="N93" s="13" t="str">
        <f t="shared" si="7"/>
        <v>отпуск за границей</v>
      </c>
      <c r="O93" s="13" t="str">
        <f t="shared" si="8"/>
        <v>Нет</v>
      </c>
      <c r="P93" s="17" t="s">
        <v>678</v>
      </c>
      <c r="Q93" s="13" t="str">
        <f t="shared" si="9"/>
        <v>Экономика</v>
      </c>
      <c r="R93" s="13" t="str">
        <f t="shared" si="10"/>
        <v>Торговля</v>
      </c>
      <c r="S93" s="17" t="s">
        <v>661</v>
      </c>
      <c r="T93" s="17" t="str">
        <f t="shared" si="11"/>
        <v>Собственное</v>
      </c>
      <c r="U93" s="17" t="s">
        <v>651</v>
      </c>
      <c r="V93" s="17" t="s">
        <v>652</v>
      </c>
      <c r="W93" s="17" t="s">
        <v>682</v>
      </c>
      <c r="X93" s="17">
        <v>2500.0</v>
      </c>
      <c r="Y93" s="17" t="s">
        <v>651</v>
      </c>
      <c r="Z93" s="17" t="s">
        <v>651</v>
      </c>
      <c r="AA93" s="17" t="s">
        <v>676</v>
      </c>
      <c r="AB93" s="13" t="str">
        <f t="shared" si="12"/>
        <v>D</v>
      </c>
      <c r="AC93" s="17" t="s">
        <v>661</v>
      </c>
      <c r="AD93" s="17" t="s">
        <v>671</v>
      </c>
      <c r="AE93" s="17">
        <v>6.0</v>
      </c>
      <c r="AF93" s="17" t="s">
        <v>690</v>
      </c>
      <c r="AG93" s="13" t="str">
        <f t="shared" si="13"/>
        <v>Без ограничений</v>
      </c>
    </row>
    <row r="94">
      <c r="A94" s="12" t="str">
        <f t="shared" si="1"/>
        <v>093</v>
      </c>
      <c r="B94" s="17" t="s">
        <v>643</v>
      </c>
      <c r="C94" s="17">
        <v>41.0</v>
      </c>
      <c r="D94" s="17" t="s">
        <v>666</v>
      </c>
      <c r="E94" s="17" t="s">
        <v>645</v>
      </c>
      <c r="F94" s="18" t="s">
        <v>659</v>
      </c>
      <c r="G94" s="15" t="str">
        <f t="shared" si="2"/>
        <v>Intermediate</v>
      </c>
      <c r="H94" s="16" t="str">
        <f t="shared" si="3"/>
        <v>Южный Казахстан</v>
      </c>
      <c r="I94" s="17" t="s">
        <v>673</v>
      </c>
      <c r="J94" s="13" t="str">
        <f t="shared" si="4"/>
        <v>Гражданин РК</v>
      </c>
      <c r="K94" s="17" t="s">
        <v>648</v>
      </c>
      <c r="L94" s="13">
        <f t="shared" si="5"/>
        <v>2</v>
      </c>
      <c r="M94" s="13" t="str">
        <f t="shared" si="6"/>
        <v>безработный</v>
      </c>
      <c r="N94" s="13" t="str">
        <f t="shared" si="7"/>
        <v>кредит</v>
      </c>
      <c r="O94" s="13" t="str">
        <f t="shared" si="8"/>
        <v>Да</v>
      </c>
      <c r="P94" s="17" t="s">
        <v>649</v>
      </c>
      <c r="Q94" s="13" t="str">
        <f t="shared" si="9"/>
        <v>Строительство</v>
      </c>
      <c r="R94" s="13" t="str">
        <f t="shared" si="10"/>
        <v>Производство</v>
      </c>
      <c r="S94" s="17" t="s">
        <v>661</v>
      </c>
      <c r="T94" s="17" t="str">
        <f t="shared" si="11"/>
        <v>Собственное</v>
      </c>
      <c r="U94" s="17" t="s">
        <v>661</v>
      </c>
      <c r="V94" s="17" t="s">
        <v>662</v>
      </c>
      <c r="W94" s="17" t="s">
        <v>670</v>
      </c>
      <c r="X94" s="17">
        <v>2500.0</v>
      </c>
      <c r="Y94" s="17" t="s">
        <v>651</v>
      </c>
      <c r="Z94" s="17" t="s">
        <v>661</v>
      </c>
      <c r="AA94" s="17" t="s">
        <v>664</v>
      </c>
      <c r="AB94" s="13" t="str">
        <f t="shared" si="12"/>
        <v>B</v>
      </c>
      <c r="AC94" s="17" t="s">
        <v>655</v>
      </c>
      <c r="AD94" s="17" t="s">
        <v>677</v>
      </c>
      <c r="AE94" s="17">
        <v>8.0</v>
      </c>
      <c r="AF94" s="17" t="s">
        <v>683</v>
      </c>
      <c r="AG94" s="13" t="str">
        <f t="shared" si="13"/>
        <v>Без ограничений</v>
      </c>
    </row>
    <row r="95">
      <c r="A95" s="12" t="str">
        <f t="shared" si="1"/>
        <v>094</v>
      </c>
      <c r="B95" s="17" t="s">
        <v>643</v>
      </c>
      <c r="C95" s="17">
        <v>38.0</v>
      </c>
      <c r="D95" s="17" t="s">
        <v>644</v>
      </c>
      <c r="E95" s="17" t="s">
        <v>659</v>
      </c>
      <c r="F95" s="18" t="s">
        <v>646</v>
      </c>
      <c r="G95" s="15" t="str">
        <f t="shared" si="2"/>
        <v>No</v>
      </c>
      <c r="H95" s="16" t="str">
        <f t="shared" si="3"/>
        <v>Восточный Казахстан</v>
      </c>
      <c r="I95" s="17" t="s">
        <v>667</v>
      </c>
      <c r="J95" s="13" t="str">
        <f t="shared" si="4"/>
        <v>Гражданин РК</v>
      </c>
      <c r="K95" s="17" t="s">
        <v>668</v>
      </c>
      <c r="L95" s="13">
        <f t="shared" si="5"/>
        <v>0</v>
      </c>
      <c r="M95" s="13" t="str">
        <f t="shared" si="6"/>
        <v>безработный</v>
      </c>
      <c r="N95" s="13" t="str">
        <f t="shared" si="7"/>
        <v>ремонт</v>
      </c>
      <c r="O95" s="13" t="str">
        <f t="shared" si="8"/>
        <v>Да</v>
      </c>
      <c r="P95" s="17" t="s">
        <v>678</v>
      </c>
      <c r="Q95" s="13" t="str">
        <f t="shared" si="9"/>
        <v>Педагогика</v>
      </c>
      <c r="R95" s="13" t="str">
        <f t="shared" si="10"/>
        <v>Образование</v>
      </c>
      <c r="S95" s="17" t="s">
        <v>661</v>
      </c>
      <c r="T95" s="17" t="str">
        <f t="shared" si="11"/>
        <v>Аренда</v>
      </c>
      <c r="U95" s="17" t="s">
        <v>661</v>
      </c>
      <c r="V95" s="17" t="s">
        <v>652</v>
      </c>
      <c r="W95" s="17" t="s">
        <v>680</v>
      </c>
      <c r="X95" s="17">
        <v>1500.0</v>
      </c>
      <c r="Y95" s="17" t="s">
        <v>651</v>
      </c>
      <c r="Z95" s="17" t="s">
        <v>661</v>
      </c>
      <c r="AA95" s="17" t="s">
        <v>664</v>
      </c>
      <c r="AB95" s="13" t="str">
        <f t="shared" si="12"/>
        <v>B</v>
      </c>
      <c r="AC95" s="17" t="s">
        <v>655</v>
      </c>
      <c r="AD95" s="17" t="s">
        <v>661</v>
      </c>
      <c r="AE95" s="17">
        <v>7.0</v>
      </c>
      <c r="AF95" s="17" t="s">
        <v>689</v>
      </c>
      <c r="AG95" s="13" t="str">
        <f t="shared" si="13"/>
        <v>Без ограничений</v>
      </c>
    </row>
    <row r="96">
      <c r="A96" s="12" t="str">
        <f t="shared" si="1"/>
        <v>095</v>
      </c>
      <c r="B96" s="17" t="s">
        <v>643</v>
      </c>
      <c r="C96" s="17">
        <v>30.0</v>
      </c>
      <c r="D96" s="17" t="s">
        <v>644</v>
      </c>
      <c r="E96" s="17" t="s">
        <v>659</v>
      </c>
      <c r="F96" s="18" t="s">
        <v>659</v>
      </c>
      <c r="G96" s="15" t="str">
        <f t="shared" si="2"/>
        <v>Beginner</v>
      </c>
      <c r="H96" s="16" t="str">
        <f t="shared" si="3"/>
        <v>Центральный Казахстан</v>
      </c>
      <c r="I96" s="17" t="s">
        <v>647</v>
      </c>
      <c r="J96" s="13" t="str">
        <f t="shared" si="4"/>
        <v>Гражданин РК</v>
      </c>
      <c r="K96" s="17" t="s">
        <v>668</v>
      </c>
      <c r="L96" s="13">
        <f t="shared" si="5"/>
        <v>0</v>
      </c>
      <c r="M96" s="13" t="str">
        <f t="shared" si="6"/>
        <v>безработный</v>
      </c>
      <c r="N96" s="13" t="str">
        <f t="shared" si="7"/>
        <v>кредит</v>
      </c>
      <c r="O96" s="13" t="str">
        <f t="shared" si="8"/>
        <v>Да</v>
      </c>
      <c r="P96" s="17" t="s">
        <v>649</v>
      </c>
      <c r="Q96" s="13" t="str">
        <f t="shared" si="9"/>
        <v>Сервис</v>
      </c>
      <c r="R96" s="13" t="str">
        <f t="shared" si="10"/>
        <v>Услуги</v>
      </c>
      <c r="S96" s="17" t="s">
        <v>674</v>
      </c>
      <c r="T96" s="17" t="str">
        <f t="shared" si="11"/>
        <v>С родителями</v>
      </c>
      <c r="U96" s="17" t="s">
        <v>651</v>
      </c>
      <c r="V96" s="17" t="s">
        <v>652</v>
      </c>
      <c r="W96" s="17" t="s">
        <v>663</v>
      </c>
      <c r="X96" s="17">
        <v>2500.0</v>
      </c>
      <c r="Y96" s="17" t="s">
        <v>651</v>
      </c>
      <c r="Z96" s="17" t="s">
        <v>651</v>
      </c>
      <c r="AA96" s="17" t="s">
        <v>654</v>
      </c>
      <c r="AB96" s="13" t="str">
        <f t="shared" si="12"/>
        <v>B</v>
      </c>
      <c r="AC96" s="17" t="s">
        <v>655</v>
      </c>
      <c r="AD96" s="17" t="s">
        <v>656</v>
      </c>
      <c r="AE96" s="17">
        <v>6.0</v>
      </c>
      <c r="AF96" s="17" t="s">
        <v>657</v>
      </c>
      <c r="AG96" s="13" t="str">
        <f t="shared" si="13"/>
        <v>Без ограничений</v>
      </c>
    </row>
    <row r="97">
      <c r="A97" s="12" t="str">
        <f t="shared" si="1"/>
        <v>096</v>
      </c>
      <c r="B97" s="17" t="s">
        <v>643</v>
      </c>
      <c r="C97" s="17">
        <v>48.0</v>
      </c>
      <c r="D97" s="17" t="s">
        <v>666</v>
      </c>
      <c r="E97" s="17" t="s">
        <v>646</v>
      </c>
      <c r="F97" s="18" t="s">
        <v>645</v>
      </c>
      <c r="G97" s="15" t="str">
        <f t="shared" si="2"/>
        <v>No</v>
      </c>
      <c r="H97" s="16" t="str">
        <f t="shared" si="3"/>
        <v>Южный Казахстан</v>
      </c>
      <c r="I97" s="17" t="s">
        <v>647</v>
      </c>
      <c r="J97" s="13" t="str">
        <f t="shared" si="4"/>
        <v>Узбекистан</v>
      </c>
      <c r="K97" s="17" t="s">
        <v>681</v>
      </c>
      <c r="L97" s="13">
        <f t="shared" si="5"/>
        <v>5</v>
      </c>
      <c r="M97" s="13" t="str">
        <f t="shared" si="6"/>
        <v>самозанятый</v>
      </c>
      <c r="N97" s="13" t="str">
        <f t="shared" si="7"/>
        <v>ремонт</v>
      </c>
      <c r="O97" s="13" t="str">
        <f t="shared" si="8"/>
        <v>Нет</v>
      </c>
      <c r="P97" s="17" t="s">
        <v>649</v>
      </c>
      <c r="Q97" s="13" t="str">
        <f t="shared" si="9"/>
        <v>Экономика</v>
      </c>
      <c r="R97" s="13" t="str">
        <f t="shared" si="10"/>
        <v>Финансы</v>
      </c>
      <c r="S97" s="17" t="s">
        <v>661</v>
      </c>
      <c r="T97" s="17" t="str">
        <f t="shared" si="11"/>
        <v>С родителями</v>
      </c>
      <c r="U97" s="17" t="s">
        <v>661</v>
      </c>
      <c r="V97" s="17" t="s">
        <v>662</v>
      </c>
      <c r="W97" s="17" t="s">
        <v>682</v>
      </c>
      <c r="X97" s="17">
        <v>2500.0</v>
      </c>
      <c r="Y97" s="17" t="s">
        <v>651</v>
      </c>
      <c r="Z97" s="17" t="s">
        <v>661</v>
      </c>
      <c r="AA97" s="17" t="s">
        <v>664</v>
      </c>
      <c r="AB97" s="13" t="str">
        <f t="shared" si="12"/>
        <v>Нет</v>
      </c>
      <c r="AC97" s="17" t="s">
        <v>661</v>
      </c>
      <c r="AD97" s="17" t="s">
        <v>656</v>
      </c>
      <c r="AE97" s="17">
        <v>8.0</v>
      </c>
      <c r="AF97" s="17" t="s">
        <v>690</v>
      </c>
      <c r="AG97" s="13" t="str">
        <f t="shared" si="13"/>
        <v>Без ограничений</v>
      </c>
    </row>
    <row r="98">
      <c r="A98" s="12" t="str">
        <f t="shared" si="1"/>
        <v>097</v>
      </c>
      <c r="B98" s="17" t="s">
        <v>643</v>
      </c>
      <c r="C98" s="17">
        <v>64.0</v>
      </c>
      <c r="D98" s="17" t="s">
        <v>666</v>
      </c>
      <c r="E98" s="17" t="s">
        <v>659</v>
      </c>
      <c r="F98" s="18" t="s">
        <v>646</v>
      </c>
      <c r="G98" s="15" t="str">
        <f t="shared" si="2"/>
        <v>Intermediate</v>
      </c>
      <c r="H98" s="16" t="str">
        <f t="shared" si="3"/>
        <v>Северный Казахстан</v>
      </c>
      <c r="I98" s="17" t="s">
        <v>647</v>
      </c>
      <c r="J98" s="13" t="str">
        <f t="shared" si="4"/>
        <v>Узбекистан</v>
      </c>
      <c r="K98" s="17" t="s">
        <v>668</v>
      </c>
      <c r="L98" s="13">
        <f t="shared" si="5"/>
        <v>0</v>
      </c>
      <c r="M98" s="13" t="str">
        <f t="shared" si="6"/>
        <v>пенсионер</v>
      </c>
      <c r="N98" s="13" t="str">
        <f t="shared" si="7"/>
        <v>отпуск за границей</v>
      </c>
      <c r="O98" s="13" t="str">
        <f t="shared" si="8"/>
        <v>Да</v>
      </c>
      <c r="P98" s="17" t="s">
        <v>660</v>
      </c>
      <c r="Q98" s="13" t="str">
        <f t="shared" si="9"/>
        <v>Педагогика</v>
      </c>
      <c r="R98" s="13" t="str">
        <f t="shared" si="10"/>
        <v>Образование</v>
      </c>
      <c r="S98" s="17" t="s">
        <v>661</v>
      </c>
      <c r="T98" s="17" t="str">
        <f t="shared" si="11"/>
        <v>С родителями</v>
      </c>
      <c r="U98" s="17" t="s">
        <v>661</v>
      </c>
      <c r="V98" s="17" t="s">
        <v>662</v>
      </c>
      <c r="W98" s="17" t="s">
        <v>670</v>
      </c>
      <c r="X98" s="17">
        <v>4000.0</v>
      </c>
      <c r="Y98" s="17" t="s">
        <v>651</v>
      </c>
      <c r="Z98" s="17" t="s">
        <v>651</v>
      </c>
      <c r="AA98" s="17" t="s">
        <v>676</v>
      </c>
      <c r="AB98" s="13" t="str">
        <f t="shared" si="12"/>
        <v>B, C</v>
      </c>
      <c r="AC98" s="17" t="s">
        <v>655</v>
      </c>
      <c r="AD98" s="17" t="s">
        <v>671</v>
      </c>
      <c r="AE98" s="17">
        <v>9.0</v>
      </c>
      <c r="AF98" s="17" t="s">
        <v>672</v>
      </c>
      <c r="AG98" s="13" t="str">
        <f t="shared" si="13"/>
        <v>Без ограничений</v>
      </c>
    </row>
    <row r="99">
      <c r="A99" s="12" t="str">
        <f t="shared" si="1"/>
        <v>098</v>
      </c>
      <c r="B99" s="17" t="s">
        <v>658</v>
      </c>
      <c r="C99" s="17">
        <v>39.0</v>
      </c>
      <c r="D99" s="17" t="s">
        <v>666</v>
      </c>
      <c r="E99" s="17" t="s">
        <v>659</v>
      </c>
      <c r="F99" s="18" t="s">
        <v>646</v>
      </c>
      <c r="G99" s="15" t="str">
        <f t="shared" si="2"/>
        <v>Intermediate</v>
      </c>
      <c r="H99" s="16" t="str">
        <f t="shared" si="3"/>
        <v>Восточный Казахстан</v>
      </c>
      <c r="I99" s="17" t="s">
        <v>667</v>
      </c>
      <c r="J99" s="13" t="str">
        <f t="shared" si="4"/>
        <v>Гражданин РК</v>
      </c>
      <c r="K99" s="17" t="s">
        <v>648</v>
      </c>
      <c r="L99" s="13">
        <f t="shared" si="5"/>
        <v>4</v>
      </c>
      <c r="M99" s="13" t="str">
        <f t="shared" si="6"/>
        <v>безработный</v>
      </c>
      <c r="N99" s="13" t="str">
        <f t="shared" si="7"/>
        <v>кредит</v>
      </c>
      <c r="O99" s="13" t="str">
        <f t="shared" si="8"/>
        <v>Нет</v>
      </c>
      <c r="P99" s="17" t="s">
        <v>660</v>
      </c>
      <c r="Q99" s="13" t="str">
        <f t="shared" si="9"/>
        <v>Педагогика</v>
      </c>
      <c r="R99" s="13" t="str">
        <f t="shared" si="10"/>
        <v>Образование</v>
      </c>
      <c r="S99" s="17" t="s">
        <v>650</v>
      </c>
      <c r="T99" s="17" t="str">
        <f t="shared" si="11"/>
        <v>С родителями</v>
      </c>
      <c r="U99" s="17" t="s">
        <v>651</v>
      </c>
      <c r="V99" s="17" t="s">
        <v>662</v>
      </c>
      <c r="W99" s="17" t="s">
        <v>670</v>
      </c>
      <c r="X99" s="17">
        <v>1000.0</v>
      </c>
      <c r="Y99" s="17" t="s">
        <v>651</v>
      </c>
      <c r="Z99" s="17" t="s">
        <v>651</v>
      </c>
      <c r="AA99" s="17" t="s">
        <v>654</v>
      </c>
      <c r="AB99" s="13" t="str">
        <f t="shared" si="12"/>
        <v>B, C</v>
      </c>
      <c r="AC99" s="17" t="s">
        <v>655</v>
      </c>
      <c r="AD99" s="17" t="s">
        <v>661</v>
      </c>
      <c r="AE99" s="17">
        <v>6.0</v>
      </c>
      <c r="AF99" s="17" t="s">
        <v>672</v>
      </c>
      <c r="AG99" s="13" t="str">
        <f t="shared" si="13"/>
        <v>Без ограничений</v>
      </c>
    </row>
    <row r="100">
      <c r="A100" s="12" t="str">
        <f t="shared" si="1"/>
        <v>099</v>
      </c>
      <c r="B100" s="17" t="s">
        <v>643</v>
      </c>
      <c r="C100" s="17">
        <v>26.0</v>
      </c>
      <c r="D100" s="17" t="s">
        <v>666</v>
      </c>
      <c r="E100" s="17" t="s">
        <v>659</v>
      </c>
      <c r="F100" s="18" t="s">
        <v>659</v>
      </c>
      <c r="G100" s="15" t="str">
        <f t="shared" si="2"/>
        <v>Beginner</v>
      </c>
      <c r="H100" s="16" t="str">
        <f t="shared" si="3"/>
        <v>Северный Казахстан</v>
      </c>
      <c r="I100" s="17" t="s">
        <v>673</v>
      </c>
      <c r="J100" s="13" t="str">
        <f t="shared" si="4"/>
        <v>Гражданин РК</v>
      </c>
      <c r="K100" s="17" t="s">
        <v>668</v>
      </c>
      <c r="L100" s="13">
        <f t="shared" si="5"/>
        <v>0</v>
      </c>
      <c r="M100" s="13" t="str">
        <f t="shared" si="6"/>
        <v>наемный работник</v>
      </c>
      <c r="N100" s="13" t="str">
        <f t="shared" si="7"/>
        <v>переезд</v>
      </c>
      <c r="O100" s="13" t="str">
        <f t="shared" si="8"/>
        <v>Нет</v>
      </c>
      <c r="P100" s="17" t="s">
        <v>669</v>
      </c>
      <c r="Q100" s="13" t="str">
        <f t="shared" si="9"/>
        <v>Экономика</v>
      </c>
      <c r="R100" s="13" t="str">
        <f t="shared" si="10"/>
        <v>Торговля</v>
      </c>
      <c r="S100" s="17" t="s">
        <v>650</v>
      </c>
      <c r="T100" s="17" t="str">
        <f t="shared" si="11"/>
        <v>Аренда</v>
      </c>
      <c r="U100" s="17" t="s">
        <v>651</v>
      </c>
      <c r="V100" s="17" t="s">
        <v>652</v>
      </c>
      <c r="W100" s="17" t="s">
        <v>680</v>
      </c>
      <c r="X100" s="17">
        <v>1000.0</v>
      </c>
      <c r="Y100" s="17" t="s">
        <v>651</v>
      </c>
      <c r="Z100" s="17" t="s">
        <v>661</v>
      </c>
      <c r="AA100" s="17" t="s">
        <v>676</v>
      </c>
      <c r="AB100" s="13" t="str">
        <f t="shared" si="12"/>
        <v>D</v>
      </c>
      <c r="AC100" s="17" t="s">
        <v>661</v>
      </c>
      <c r="AD100" s="17" t="s">
        <v>671</v>
      </c>
      <c r="AE100" s="17">
        <v>8.0</v>
      </c>
      <c r="AF100" s="17" t="s">
        <v>689</v>
      </c>
      <c r="AG100" s="13" t="str">
        <f t="shared" si="13"/>
        <v>Без ограничений</v>
      </c>
    </row>
    <row r="101">
      <c r="A101" s="12" t="str">
        <f t="shared" si="1"/>
        <v>100</v>
      </c>
      <c r="B101" s="17" t="s">
        <v>643</v>
      </c>
      <c r="C101" s="17">
        <v>22.0</v>
      </c>
      <c r="D101" s="17" t="s">
        <v>666</v>
      </c>
      <c r="E101" s="17" t="s">
        <v>659</v>
      </c>
      <c r="F101" s="18" t="s">
        <v>646</v>
      </c>
      <c r="G101" s="15" t="str">
        <f t="shared" si="2"/>
        <v>Intermediate</v>
      </c>
      <c r="H101" s="16" t="str">
        <f t="shared" si="3"/>
        <v>Восточный Казахстан</v>
      </c>
      <c r="I101" s="17" t="s">
        <v>667</v>
      </c>
      <c r="J101" s="13" t="str">
        <f t="shared" si="4"/>
        <v>Гражданин РК</v>
      </c>
      <c r="K101" s="17" t="s">
        <v>668</v>
      </c>
      <c r="L101" s="13">
        <f t="shared" si="5"/>
        <v>0</v>
      </c>
      <c r="M101" s="13" t="str">
        <f t="shared" si="6"/>
        <v>студент</v>
      </c>
      <c r="N101" s="13" t="str">
        <f t="shared" si="7"/>
        <v>свадьба</v>
      </c>
      <c r="O101" s="13" t="str">
        <f t="shared" si="8"/>
        <v>Да</v>
      </c>
      <c r="P101" s="17" t="s">
        <v>678</v>
      </c>
      <c r="Q101" s="13" t="str">
        <f t="shared" si="9"/>
        <v>Юриспруденция</v>
      </c>
      <c r="R101" s="13" t="str">
        <f t="shared" si="10"/>
        <v>Услуги</v>
      </c>
      <c r="S101" s="17" t="s">
        <v>674</v>
      </c>
      <c r="T101" s="17" t="str">
        <f t="shared" si="11"/>
        <v>Аренда</v>
      </c>
      <c r="U101" s="17" t="s">
        <v>661</v>
      </c>
      <c r="V101" s="17" t="s">
        <v>675</v>
      </c>
      <c r="W101" s="17" t="s">
        <v>680</v>
      </c>
      <c r="X101" s="17">
        <v>1500.0</v>
      </c>
      <c r="Y101" s="17" t="s">
        <v>651</v>
      </c>
      <c r="Z101" s="17" t="s">
        <v>651</v>
      </c>
      <c r="AA101" s="17" t="s">
        <v>654</v>
      </c>
      <c r="AB101" s="13" t="str">
        <f t="shared" si="12"/>
        <v>B</v>
      </c>
      <c r="AC101" s="17" t="s">
        <v>655</v>
      </c>
      <c r="AD101" s="17" t="s">
        <v>671</v>
      </c>
      <c r="AE101" s="17">
        <v>10.0</v>
      </c>
      <c r="AF101" s="17" t="s">
        <v>665</v>
      </c>
      <c r="AG101" s="13" t="str">
        <f t="shared" si="13"/>
        <v>Аллергия</v>
      </c>
    </row>
    <row r="102">
      <c r="A102" s="19" t="str">
        <f t="shared" si="1"/>
        <v>101</v>
      </c>
      <c r="B102" s="17"/>
      <c r="C102" s="20"/>
      <c r="D102" s="20"/>
      <c r="E102" s="20"/>
      <c r="F102" s="20"/>
      <c r="G102" s="21"/>
      <c r="H102" s="20"/>
      <c r="I102" s="20"/>
      <c r="J102" s="20"/>
      <c r="K102" s="20"/>
      <c r="L102" s="13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2"/>
      <c r="AB102" s="22"/>
      <c r="AC102" s="20"/>
      <c r="AD102" s="20"/>
      <c r="AE102" s="20"/>
      <c r="AF102" s="23"/>
      <c r="AG102" s="22"/>
    </row>
    <row r="103">
      <c r="A103" s="19" t="str">
        <f t="shared" si="1"/>
        <v>102</v>
      </c>
      <c r="B103" s="17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2"/>
      <c r="AB103" s="22"/>
      <c r="AC103" s="20"/>
      <c r="AD103" s="20"/>
      <c r="AE103" s="20"/>
      <c r="AF103" s="23"/>
      <c r="AG103" s="22"/>
    </row>
    <row r="104">
      <c r="A104" s="19" t="str">
        <f t="shared" si="1"/>
        <v>103</v>
      </c>
      <c r="B104" s="17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4"/>
      <c r="AG104" s="22"/>
    </row>
    <row r="105">
      <c r="A105" s="19" t="str">
        <f t="shared" si="1"/>
        <v>104</v>
      </c>
      <c r="B105" s="17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4"/>
      <c r="AG105" s="22"/>
    </row>
    <row r="106">
      <c r="A106" s="19" t="str">
        <f t="shared" si="1"/>
        <v>105</v>
      </c>
      <c r="B106" s="17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4"/>
      <c r="AG106" s="22"/>
    </row>
    <row r="107">
      <c r="A107" s="19" t="str">
        <f t="shared" si="1"/>
        <v>106</v>
      </c>
      <c r="B107" s="17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4"/>
      <c r="AG107" s="22"/>
    </row>
    <row r="108">
      <c r="A108" s="19" t="str">
        <f t="shared" si="1"/>
        <v>107</v>
      </c>
      <c r="B108" s="17"/>
      <c r="C108" s="22"/>
      <c r="D108" s="22"/>
      <c r="E108" s="22"/>
      <c r="F108" s="22"/>
      <c r="G108" s="25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4"/>
      <c r="AG108" s="22"/>
    </row>
    <row r="109">
      <c r="A109" s="19" t="str">
        <f t="shared" si="1"/>
        <v>108</v>
      </c>
      <c r="B109" s="17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2"/>
      <c r="X109" s="26"/>
      <c r="Y109" s="26"/>
      <c r="Z109" s="26"/>
      <c r="AA109" s="26"/>
      <c r="AB109" s="26"/>
      <c r="AC109" s="26"/>
      <c r="AD109" s="26"/>
      <c r="AE109" s="26"/>
      <c r="AF109" s="24"/>
      <c r="AG109" s="26"/>
    </row>
    <row r="110">
      <c r="A110" s="19" t="str">
        <f t="shared" si="1"/>
        <v>109</v>
      </c>
      <c r="B110" s="17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2"/>
      <c r="X110" s="26"/>
      <c r="Y110" s="26"/>
      <c r="Z110" s="26"/>
      <c r="AA110" s="26"/>
      <c r="AB110" s="26"/>
      <c r="AC110" s="26"/>
      <c r="AD110" s="26"/>
      <c r="AE110" s="26"/>
      <c r="AF110" s="24"/>
      <c r="AG110" s="26"/>
    </row>
    <row r="111">
      <c r="A111" s="19" t="str">
        <f t="shared" si="1"/>
        <v>110</v>
      </c>
      <c r="B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2"/>
      <c r="X111" s="26"/>
      <c r="Y111" s="26"/>
      <c r="Z111" s="26"/>
      <c r="AA111" s="26"/>
      <c r="AB111" s="26"/>
      <c r="AC111" s="26"/>
      <c r="AD111" s="26"/>
      <c r="AE111" s="26"/>
      <c r="AF111" s="24"/>
      <c r="AG111" s="26"/>
    </row>
    <row r="112">
      <c r="A112" s="19" t="str">
        <f t="shared" si="1"/>
        <v>111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2"/>
      <c r="X112" s="26"/>
      <c r="Y112" s="26"/>
      <c r="Z112" s="26"/>
      <c r="AA112" s="26"/>
      <c r="AB112" s="26"/>
      <c r="AC112" s="26"/>
      <c r="AD112" s="26"/>
      <c r="AE112" s="26"/>
      <c r="AF112" s="24"/>
      <c r="AG112" s="26"/>
    </row>
    <row r="113">
      <c r="A113" s="19" t="str">
        <f t="shared" si="1"/>
        <v>112</v>
      </c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2"/>
      <c r="X113" s="26"/>
      <c r="Y113" s="26"/>
      <c r="Z113" s="26"/>
      <c r="AA113" s="26"/>
      <c r="AB113" s="26"/>
      <c r="AC113" s="26"/>
      <c r="AD113" s="26"/>
      <c r="AE113" s="26"/>
      <c r="AF113" s="24"/>
      <c r="AG113" s="26"/>
    </row>
    <row r="114">
      <c r="A114" s="19" t="str">
        <f t="shared" si="1"/>
        <v>113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2"/>
      <c r="X114" s="26"/>
      <c r="Y114" s="26"/>
      <c r="Z114" s="26"/>
      <c r="AA114" s="26"/>
      <c r="AB114" s="26"/>
      <c r="AC114" s="26"/>
      <c r="AD114" s="26"/>
      <c r="AE114" s="26"/>
      <c r="AF114" s="24"/>
      <c r="AG114" s="26"/>
    </row>
    <row r="115">
      <c r="A115" s="19" t="str">
        <f t="shared" si="1"/>
        <v>114</v>
      </c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2"/>
      <c r="X115" s="26"/>
      <c r="Y115" s="26"/>
      <c r="Z115" s="26"/>
      <c r="AA115" s="26"/>
      <c r="AB115" s="26"/>
      <c r="AC115" s="26"/>
      <c r="AD115" s="26"/>
      <c r="AE115" s="26"/>
      <c r="AF115" s="24"/>
      <c r="AG115" s="26"/>
    </row>
    <row r="116">
      <c r="A116" s="19" t="str">
        <f t="shared" si="1"/>
        <v>115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2"/>
      <c r="X116" s="26"/>
      <c r="Y116" s="26"/>
      <c r="Z116" s="26"/>
      <c r="AA116" s="26"/>
      <c r="AB116" s="26"/>
      <c r="AC116" s="26"/>
      <c r="AD116" s="26"/>
      <c r="AE116" s="26"/>
      <c r="AF116" s="24"/>
      <c r="AG116" s="26"/>
    </row>
    <row r="117">
      <c r="A117" s="19" t="str">
        <f t="shared" si="1"/>
        <v>116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2"/>
      <c r="X117" s="26"/>
      <c r="Y117" s="26"/>
      <c r="Z117" s="26"/>
      <c r="AA117" s="26"/>
      <c r="AB117" s="26"/>
      <c r="AC117" s="26"/>
      <c r="AD117" s="26"/>
      <c r="AE117" s="26"/>
      <c r="AF117" s="24"/>
      <c r="AG117" s="26"/>
    </row>
    <row r="118">
      <c r="A118" s="27" t="str">
        <f t="shared" si="1"/>
        <v>117</v>
      </c>
      <c r="W118" s="28"/>
      <c r="AF118" s="29"/>
    </row>
    <row r="119">
      <c r="A119" s="27" t="str">
        <f t="shared" si="1"/>
        <v>118</v>
      </c>
      <c r="W119" s="28"/>
      <c r="AF119" s="29"/>
    </row>
    <row r="120">
      <c r="A120" s="27" t="str">
        <f t="shared" si="1"/>
        <v>119</v>
      </c>
      <c r="W120" s="28"/>
      <c r="AF120" s="29"/>
    </row>
    <row r="121">
      <c r="A121" s="27" t="str">
        <f t="shared" si="1"/>
        <v>120</v>
      </c>
      <c r="W121" s="28"/>
      <c r="AF121" s="29"/>
    </row>
    <row r="122">
      <c r="A122" s="27" t="str">
        <f t="shared" si="1"/>
        <v>121</v>
      </c>
      <c r="W122" s="28"/>
      <c r="AF122" s="29"/>
    </row>
    <row r="123">
      <c r="A123" s="27" t="str">
        <f t="shared" si="1"/>
        <v>122</v>
      </c>
      <c r="W123" s="28"/>
      <c r="AF123" s="30"/>
    </row>
    <row r="124">
      <c r="A124" s="27" t="str">
        <f t="shared" si="1"/>
        <v>123</v>
      </c>
      <c r="W124" s="28"/>
      <c r="AF124" s="30"/>
    </row>
    <row r="125">
      <c r="A125" s="27" t="str">
        <f t="shared" si="1"/>
        <v>124</v>
      </c>
      <c r="W125" s="28"/>
      <c r="AF125" s="30"/>
    </row>
    <row r="126">
      <c r="A126" s="27" t="str">
        <f t="shared" si="1"/>
        <v>125</v>
      </c>
      <c r="W126" s="28"/>
      <c r="AF126" s="30"/>
    </row>
    <row r="127">
      <c r="A127" s="27" t="str">
        <f t="shared" si="1"/>
        <v>126</v>
      </c>
      <c r="W127" s="28"/>
      <c r="AF127" s="30"/>
    </row>
    <row r="128">
      <c r="A128" s="27" t="str">
        <f t="shared" si="1"/>
        <v>127</v>
      </c>
      <c r="W128" s="28"/>
      <c r="AF128" s="30"/>
    </row>
    <row r="129">
      <c r="A129" s="27" t="str">
        <f t="shared" si="1"/>
        <v>128</v>
      </c>
      <c r="W129" s="28"/>
      <c r="AF129" s="30"/>
    </row>
    <row r="130">
      <c r="A130" s="27" t="str">
        <f t="shared" si="1"/>
        <v>129</v>
      </c>
      <c r="W130" s="28"/>
      <c r="AF130" s="30"/>
    </row>
    <row r="131">
      <c r="A131" s="27" t="str">
        <f t="shared" si="1"/>
        <v>130</v>
      </c>
      <c r="W131" s="28"/>
      <c r="AF131" s="30"/>
    </row>
    <row r="132">
      <c r="A132" s="27" t="str">
        <f t="shared" si="1"/>
        <v>131</v>
      </c>
      <c r="W132" s="28"/>
      <c r="AF132" s="30"/>
    </row>
    <row r="133">
      <c r="A133" s="27" t="str">
        <f t="shared" si="1"/>
        <v>132</v>
      </c>
      <c r="W133" s="28"/>
      <c r="AF133" s="30"/>
    </row>
    <row r="134">
      <c r="A134" s="27" t="str">
        <f t="shared" si="1"/>
        <v>133</v>
      </c>
      <c r="W134" s="28"/>
      <c r="AF134" s="30"/>
    </row>
    <row r="135">
      <c r="A135" s="27" t="str">
        <f t="shared" si="1"/>
        <v>134</v>
      </c>
      <c r="W135" s="28"/>
      <c r="AF135" s="30"/>
    </row>
    <row r="136">
      <c r="A136" s="27" t="str">
        <f t="shared" si="1"/>
        <v>135</v>
      </c>
      <c r="W136" s="28"/>
      <c r="AF136" s="30"/>
    </row>
    <row r="137">
      <c r="A137" s="27" t="str">
        <f t="shared" si="1"/>
        <v>136</v>
      </c>
      <c r="W137" s="28"/>
      <c r="AF137" s="30"/>
    </row>
    <row r="138">
      <c r="A138" s="27" t="str">
        <f t="shared" si="1"/>
        <v>137</v>
      </c>
      <c r="W138" s="28"/>
      <c r="AF138" s="30"/>
    </row>
    <row r="139">
      <c r="A139" s="27" t="str">
        <f t="shared" si="1"/>
        <v>138</v>
      </c>
      <c r="W139" s="28"/>
      <c r="AF139" s="30"/>
    </row>
    <row r="140">
      <c r="A140" s="27" t="str">
        <f t="shared" si="1"/>
        <v>139</v>
      </c>
      <c r="W140" s="28"/>
      <c r="AF140" s="30"/>
    </row>
    <row r="141">
      <c r="A141" s="27" t="str">
        <f t="shared" si="1"/>
        <v>140</v>
      </c>
      <c r="W141" s="28"/>
      <c r="AF141" s="30"/>
    </row>
    <row r="142">
      <c r="A142" s="27" t="str">
        <f t="shared" si="1"/>
        <v>141</v>
      </c>
      <c r="W142" s="28"/>
      <c r="AF142" s="30"/>
    </row>
    <row r="143">
      <c r="A143" s="27" t="str">
        <f t="shared" si="1"/>
        <v>142</v>
      </c>
      <c r="W143" s="28"/>
      <c r="AF143" s="30"/>
    </row>
    <row r="144">
      <c r="A144" s="27" t="str">
        <f t="shared" si="1"/>
        <v>143</v>
      </c>
      <c r="W144" s="28"/>
      <c r="AF144" s="30"/>
    </row>
    <row r="145">
      <c r="A145" s="27" t="str">
        <f t="shared" si="1"/>
        <v>144</v>
      </c>
      <c r="W145" s="28"/>
      <c r="AF145" s="30"/>
    </row>
    <row r="146">
      <c r="A146" s="27" t="str">
        <f t="shared" si="1"/>
        <v>145</v>
      </c>
      <c r="W146" s="28"/>
      <c r="AF146" s="30"/>
    </row>
    <row r="147">
      <c r="A147" s="27" t="str">
        <f t="shared" si="1"/>
        <v>146</v>
      </c>
      <c r="W147" s="28"/>
      <c r="AF147" s="30"/>
    </row>
    <row r="148">
      <c r="A148" s="27" t="str">
        <f t="shared" si="1"/>
        <v>147</v>
      </c>
      <c r="W148" s="28"/>
      <c r="AF148" s="30"/>
    </row>
    <row r="149">
      <c r="A149" s="27" t="str">
        <f t="shared" si="1"/>
        <v>148</v>
      </c>
      <c r="W149" s="28"/>
      <c r="AF149" s="30"/>
    </row>
    <row r="150">
      <c r="A150" s="27" t="str">
        <f t="shared" si="1"/>
        <v>149</v>
      </c>
      <c r="W150" s="28"/>
      <c r="AF150" s="30"/>
    </row>
    <row r="151">
      <c r="A151" s="27" t="str">
        <f t="shared" si="1"/>
        <v>150</v>
      </c>
      <c r="W151" s="28"/>
      <c r="AF151" s="30"/>
    </row>
    <row r="152">
      <c r="A152" s="27" t="str">
        <f t="shared" si="1"/>
        <v>151</v>
      </c>
      <c r="W152" s="28"/>
      <c r="AF152" s="30"/>
    </row>
    <row r="153">
      <c r="A153" s="27" t="str">
        <f t="shared" si="1"/>
        <v>152</v>
      </c>
      <c r="W153" s="28"/>
      <c r="AF153" s="30"/>
    </row>
    <row r="154">
      <c r="A154" s="27" t="str">
        <f t="shared" si="1"/>
        <v>153</v>
      </c>
      <c r="W154" s="28"/>
      <c r="AF154" s="30"/>
    </row>
    <row r="155">
      <c r="A155" s="27" t="str">
        <f t="shared" si="1"/>
        <v>154</v>
      </c>
      <c r="W155" s="28"/>
      <c r="AF155" s="30"/>
    </row>
    <row r="156">
      <c r="A156" s="27" t="str">
        <f t="shared" si="1"/>
        <v>155</v>
      </c>
      <c r="W156" s="28"/>
      <c r="AF156" s="30"/>
    </row>
    <row r="157">
      <c r="A157" s="27" t="str">
        <f t="shared" si="1"/>
        <v>156</v>
      </c>
      <c r="W157" s="28"/>
      <c r="AF157" s="30"/>
    </row>
    <row r="158">
      <c r="A158" s="27" t="str">
        <f t="shared" si="1"/>
        <v>157</v>
      </c>
      <c r="W158" s="28"/>
      <c r="AF158" s="30"/>
    </row>
    <row r="159">
      <c r="A159" s="27" t="str">
        <f t="shared" si="1"/>
        <v>158</v>
      </c>
      <c r="W159" s="28"/>
      <c r="AF159" s="30"/>
    </row>
    <row r="160">
      <c r="A160" s="27" t="str">
        <f t="shared" si="1"/>
        <v>159</v>
      </c>
      <c r="W160" s="28"/>
      <c r="AF160" s="30"/>
    </row>
    <row r="161">
      <c r="A161" s="27" t="str">
        <f t="shared" si="1"/>
        <v>160</v>
      </c>
      <c r="W161" s="28"/>
      <c r="AF161" s="30"/>
    </row>
    <row r="162">
      <c r="A162" s="27" t="str">
        <f t="shared" si="1"/>
        <v>161</v>
      </c>
      <c r="W162" s="28"/>
      <c r="AF162" s="30"/>
    </row>
    <row r="163">
      <c r="A163" s="27" t="str">
        <f t="shared" si="1"/>
        <v>162</v>
      </c>
      <c r="W163" s="28"/>
      <c r="AF163" s="30"/>
    </row>
    <row r="164">
      <c r="A164" s="27" t="str">
        <f t="shared" si="1"/>
        <v>163</v>
      </c>
      <c r="W164" s="28"/>
      <c r="AF164" s="30"/>
    </row>
    <row r="165">
      <c r="A165" s="27" t="str">
        <f t="shared" si="1"/>
        <v>164</v>
      </c>
      <c r="W165" s="28"/>
      <c r="AF165" s="30"/>
    </row>
    <row r="166">
      <c r="A166" s="27" t="str">
        <f t="shared" si="1"/>
        <v>165</v>
      </c>
      <c r="W166" s="28"/>
      <c r="AF166" s="30"/>
    </row>
    <row r="167">
      <c r="A167" s="27" t="str">
        <f t="shared" si="1"/>
        <v>166</v>
      </c>
      <c r="W167" s="28"/>
      <c r="AF167" s="30"/>
    </row>
    <row r="168">
      <c r="A168" s="27" t="str">
        <f t="shared" si="1"/>
        <v>167</v>
      </c>
      <c r="W168" s="28"/>
      <c r="AF168" s="30"/>
    </row>
    <row r="169">
      <c r="A169" s="27" t="str">
        <f t="shared" si="1"/>
        <v>168</v>
      </c>
      <c r="W169" s="28"/>
      <c r="AF169" s="30"/>
    </row>
    <row r="170">
      <c r="A170" s="27" t="str">
        <f t="shared" si="1"/>
        <v>169</v>
      </c>
      <c r="W170" s="28"/>
      <c r="AF170" s="30"/>
    </row>
    <row r="171">
      <c r="A171" s="27" t="str">
        <f t="shared" si="1"/>
        <v>170</v>
      </c>
      <c r="W171" s="28"/>
      <c r="AF171" s="30"/>
    </row>
    <row r="172">
      <c r="A172" s="27" t="str">
        <f t="shared" si="1"/>
        <v>171</v>
      </c>
      <c r="W172" s="28"/>
      <c r="AF172" s="30"/>
    </row>
    <row r="173">
      <c r="A173" s="27" t="str">
        <f t="shared" si="1"/>
        <v>172</v>
      </c>
      <c r="W173" s="28"/>
      <c r="AF173" s="30"/>
    </row>
    <row r="174">
      <c r="A174" s="27" t="str">
        <f t="shared" si="1"/>
        <v>173</v>
      </c>
      <c r="W174" s="28"/>
      <c r="AF174" s="30"/>
    </row>
    <row r="175">
      <c r="A175" s="27" t="str">
        <f t="shared" si="1"/>
        <v>174</v>
      </c>
      <c r="W175" s="28"/>
      <c r="AF175" s="30"/>
    </row>
    <row r="176">
      <c r="A176" s="27" t="str">
        <f t="shared" si="1"/>
        <v>175</v>
      </c>
      <c r="W176" s="28"/>
      <c r="AF176" s="30"/>
    </row>
    <row r="177">
      <c r="A177" s="27" t="str">
        <f t="shared" si="1"/>
        <v>176</v>
      </c>
      <c r="W177" s="28"/>
      <c r="AF177" s="30"/>
    </row>
    <row r="178">
      <c r="A178" s="27" t="str">
        <f t="shared" si="1"/>
        <v>177</v>
      </c>
      <c r="W178" s="28"/>
      <c r="AF178" s="30"/>
    </row>
    <row r="179">
      <c r="A179" s="27" t="str">
        <f t="shared" si="1"/>
        <v>178</v>
      </c>
      <c r="W179" s="28"/>
      <c r="AF179" s="30"/>
    </row>
    <row r="180">
      <c r="A180" s="27" t="str">
        <f t="shared" si="1"/>
        <v>179</v>
      </c>
      <c r="W180" s="28"/>
      <c r="AF180" s="30"/>
    </row>
    <row r="181">
      <c r="W181" s="28"/>
      <c r="AF181" s="30"/>
    </row>
    <row r="182">
      <c r="W182" s="28"/>
      <c r="AF182" s="30"/>
    </row>
    <row r="183">
      <c r="W183" s="28"/>
      <c r="AF183" s="30"/>
    </row>
    <row r="184">
      <c r="W184" s="28"/>
      <c r="AF184" s="30"/>
    </row>
    <row r="185">
      <c r="W185" s="28"/>
      <c r="AF185" s="30"/>
    </row>
    <row r="186">
      <c r="W186" s="28"/>
      <c r="AF186" s="30"/>
    </row>
    <row r="187">
      <c r="W187" s="28"/>
      <c r="AF187" s="30"/>
    </row>
    <row r="188">
      <c r="W188" s="28"/>
      <c r="AF188" s="30"/>
    </row>
    <row r="189">
      <c r="W189" s="28"/>
      <c r="AF189" s="30"/>
    </row>
    <row r="190">
      <c r="W190" s="28"/>
      <c r="AF190" s="30"/>
    </row>
    <row r="191">
      <c r="W191" s="28"/>
      <c r="AF191" s="30"/>
    </row>
    <row r="192">
      <c r="W192" s="28"/>
      <c r="AF192" s="30"/>
    </row>
    <row r="193">
      <c r="W193" s="28"/>
      <c r="AF193" s="30"/>
    </row>
    <row r="194">
      <c r="W194" s="28"/>
      <c r="AF194" s="30"/>
    </row>
    <row r="195">
      <c r="W195" s="28"/>
      <c r="AF195" s="30"/>
    </row>
    <row r="196">
      <c r="W196" s="28"/>
      <c r="AF196" s="30"/>
    </row>
    <row r="197">
      <c r="W197" s="28"/>
      <c r="AF197" s="30"/>
    </row>
    <row r="198">
      <c r="W198" s="28"/>
      <c r="AF198" s="30"/>
    </row>
    <row r="199">
      <c r="W199" s="28"/>
      <c r="AF199" s="30"/>
    </row>
    <row r="200">
      <c r="W200" s="28"/>
      <c r="AF200" s="30"/>
    </row>
    <row r="201">
      <c r="W201" s="28"/>
      <c r="AF201" s="30"/>
    </row>
    <row r="202">
      <c r="W202" s="28"/>
      <c r="AF202" s="30"/>
    </row>
    <row r="203">
      <c r="W203" s="28"/>
      <c r="AF203" s="30"/>
    </row>
    <row r="204">
      <c r="W204" s="28"/>
      <c r="AF204" s="30"/>
    </row>
    <row r="205">
      <c r="W205" s="28"/>
      <c r="AF205" s="30"/>
    </row>
    <row r="206">
      <c r="W206" s="28"/>
      <c r="AF206" s="30"/>
    </row>
    <row r="207">
      <c r="W207" s="28"/>
      <c r="AF207" s="30"/>
    </row>
    <row r="208">
      <c r="W208" s="28"/>
      <c r="AF208" s="30"/>
    </row>
    <row r="209">
      <c r="W209" s="28"/>
      <c r="AF209" s="30"/>
    </row>
    <row r="210">
      <c r="W210" s="28"/>
      <c r="AF210" s="30"/>
    </row>
    <row r="211">
      <c r="W211" s="28"/>
      <c r="AF211" s="30"/>
    </row>
    <row r="212">
      <c r="W212" s="28"/>
      <c r="AF212" s="30"/>
    </row>
    <row r="213">
      <c r="W213" s="28"/>
      <c r="AF213" s="30"/>
    </row>
    <row r="214">
      <c r="W214" s="28"/>
      <c r="AF214" s="30"/>
    </row>
    <row r="215">
      <c r="W215" s="28"/>
      <c r="AF215" s="30"/>
    </row>
    <row r="216">
      <c r="W216" s="28"/>
      <c r="AF216" s="30"/>
    </row>
    <row r="217">
      <c r="W217" s="28"/>
      <c r="AF217" s="30"/>
    </row>
    <row r="218">
      <c r="W218" s="28"/>
      <c r="AF218" s="30"/>
    </row>
    <row r="219">
      <c r="W219" s="28"/>
      <c r="AF219" s="30"/>
    </row>
    <row r="220">
      <c r="W220" s="28"/>
      <c r="AF220" s="30"/>
    </row>
    <row r="221">
      <c r="W221" s="28"/>
      <c r="AF221" s="30"/>
    </row>
    <row r="222">
      <c r="W222" s="28"/>
      <c r="AF222" s="30"/>
    </row>
    <row r="223">
      <c r="W223" s="28"/>
      <c r="AF223" s="30"/>
    </row>
    <row r="224">
      <c r="W224" s="28"/>
      <c r="AF224" s="30"/>
    </row>
    <row r="225">
      <c r="W225" s="28"/>
      <c r="AF225" s="30"/>
    </row>
    <row r="226">
      <c r="W226" s="28"/>
      <c r="AF226" s="30"/>
    </row>
    <row r="227">
      <c r="W227" s="28"/>
      <c r="AF227" s="30"/>
    </row>
    <row r="228">
      <c r="W228" s="28"/>
      <c r="AF228" s="30"/>
    </row>
    <row r="229">
      <c r="W229" s="28"/>
      <c r="AF229" s="30"/>
    </row>
    <row r="230">
      <c r="W230" s="28"/>
      <c r="AF230" s="30"/>
    </row>
    <row r="231">
      <c r="W231" s="28"/>
      <c r="AF231" s="30"/>
    </row>
    <row r="232">
      <c r="W232" s="28"/>
      <c r="AF232" s="30"/>
    </row>
    <row r="233">
      <c r="W233" s="28"/>
      <c r="AF233" s="30"/>
    </row>
    <row r="234">
      <c r="W234" s="28"/>
      <c r="AF234" s="30"/>
    </row>
    <row r="235">
      <c r="W235" s="28"/>
      <c r="AF235" s="30"/>
    </row>
    <row r="236">
      <c r="W236" s="28"/>
      <c r="AF236" s="30"/>
    </row>
    <row r="237">
      <c r="W237" s="28"/>
      <c r="AF237" s="30"/>
    </row>
    <row r="238">
      <c r="W238" s="28"/>
      <c r="AF238" s="30"/>
    </row>
    <row r="239">
      <c r="W239" s="28"/>
      <c r="AF239" s="30"/>
    </row>
    <row r="240">
      <c r="W240" s="28"/>
      <c r="AF240" s="30"/>
    </row>
    <row r="241">
      <c r="W241" s="28"/>
      <c r="AF241" s="30"/>
    </row>
    <row r="242">
      <c r="W242" s="28"/>
      <c r="AF242" s="30"/>
    </row>
    <row r="243">
      <c r="W243" s="28"/>
      <c r="AF243" s="30"/>
    </row>
    <row r="244">
      <c r="W244" s="28"/>
      <c r="AF244" s="30"/>
    </row>
    <row r="245">
      <c r="W245" s="28"/>
      <c r="AF245" s="30"/>
    </row>
    <row r="246">
      <c r="W246" s="28"/>
      <c r="AF246" s="30"/>
    </row>
    <row r="247">
      <c r="W247" s="28"/>
      <c r="AF247" s="30"/>
    </row>
    <row r="248">
      <c r="W248" s="28"/>
      <c r="AF248" s="30"/>
    </row>
    <row r="249">
      <c r="W249" s="28"/>
      <c r="AF249" s="30"/>
    </row>
    <row r="250">
      <c r="W250" s="28"/>
      <c r="AF250" s="30"/>
    </row>
    <row r="251">
      <c r="W251" s="28"/>
      <c r="AF251" s="30"/>
    </row>
    <row r="252">
      <c r="W252" s="28"/>
      <c r="AF252" s="30"/>
    </row>
    <row r="253">
      <c r="W253" s="28"/>
      <c r="AF253" s="30"/>
    </row>
    <row r="254">
      <c r="W254" s="28"/>
      <c r="AF254" s="30"/>
    </row>
    <row r="255">
      <c r="W255" s="28"/>
      <c r="AF255" s="30"/>
    </row>
    <row r="256">
      <c r="W256" s="28"/>
      <c r="AF256" s="30"/>
    </row>
    <row r="257">
      <c r="W257" s="28"/>
      <c r="AF257" s="30"/>
    </row>
    <row r="258">
      <c r="W258" s="28"/>
      <c r="AF258" s="30"/>
    </row>
    <row r="259">
      <c r="W259" s="28"/>
      <c r="AF259" s="30"/>
    </row>
    <row r="260">
      <c r="W260" s="28"/>
      <c r="AF260" s="30"/>
    </row>
    <row r="261">
      <c r="W261" s="28"/>
      <c r="AF261" s="30"/>
    </row>
    <row r="262">
      <c r="W262" s="28"/>
      <c r="AF262" s="30"/>
    </row>
    <row r="263">
      <c r="W263" s="28"/>
      <c r="AF263" s="30"/>
    </row>
    <row r="264">
      <c r="W264" s="28"/>
      <c r="AF264" s="30"/>
    </row>
    <row r="265">
      <c r="W265" s="28"/>
      <c r="AF265" s="30"/>
    </row>
    <row r="266">
      <c r="W266" s="28"/>
      <c r="AF266" s="30"/>
    </row>
    <row r="267">
      <c r="W267" s="28"/>
      <c r="AF267" s="30"/>
    </row>
    <row r="268">
      <c r="W268" s="28"/>
      <c r="AF268" s="30"/>
    </row>
    <row r="269">
      <c r="W269" s="28"/>
      <c r="AF269" s="30"/>
    </row>
    <row r="270">
      <c r="W270" s="28"/>
      <c r="AF270" s="30"/>
    </row>
    <row r="271">
      <c r="W271" s="28"/>
      <c r="AF271" s="30"/>
    </row>
    <row r="272">
      <c r="W272" s="28"/>
      <c r="AF272" s="30"/>
    </row>
    <row r="273">
      <c r="W273" s="28"/>
      <c r="AF273" s="30"/>
    </row>
    <row r="274">
      <c r="W274" s="28"/>
      <c r="AF274" s="30"/>
    </row>
    <row r="275">
      <c r="W275" s="28"/>
      <c r="AF275" s="30"/>
    </row>
    <row r="276">
      <c r="W276" s="28"/>
      <c r="AF276" s="30"/>
    </row>
    <row r="277">
      <c r="W277" s="28"/>
      <c r="AF277" s="30"/>
    </row>
    <row r="278">
      <c r="W278" s="28"/>
      <c r="AF278" s="30"/>
    </row>
    <row r="279">
      <c r="W279" s="28"/>
      <c r="AF279" s="30"/>
    </row>
    <row r="280">
      <c r="W280" s="28"/>
      <c r="AF280" s="30"/>
    </row>
    <row r="281">
      <c r="W281" s="28"/>
      <c r="AF281" s="30"/>
    </row>
    <row r="282">
      <c r="W282" s="28"/>
      <c r="AF282" s="30"/>
    </row>
    <row r="283">
      <c r="W283" s="28"/>
      <c r="AF283" s="30"/>
    </row>
    <row r="284">
      <c r="W284" s="28"/>
      <c r="AF284" s="30"/>
    </row>
    <row r="285">
      <c r="W285" s="28"/>
      <c r="AF285" s="30"/>
    </row>
    <row r="286">
      <c r="W286" s="28"/>
      <c r="AF286" s="30"/>
    </row>
    <row r="287">
      <c r="W287" s="28"/>
      <c r="AF287" s="30"/>
    </row>
    <row r="288">
      <c r="W288" s="28"/>
      <c r="AF288" s="30"/>
    </row>
    <row r="289">
      <c r="W289" s="28"/>
      <c r="AF289" s="30"/>
    </row>
    <row r="290">
      <c r="W290" s="28"/>
      <c r="AF290" s="30"/>
    </row>
    <row r="291">
      <c r="W291" s="28"/>
      <c r="AF291" s="30"/>
    </row>
    <row r="292">
      <c r="W292" s="28"/>
      <c r="AF292" s="30"/>
    </row>
    <row r="293">
      <c r="W293" s="28"/>
      <c r="AF293" s="30"/>
    </row>
    <row r="294">
      <c r="W294" s="28"/>
      <c r="AF294" s="30"/>
    </row>
    <row r="295">
      <c r="W295" s="28"/>
      <c r="AF295" s="30"/>
    </row>
    <row r="296">
      <c r="W296" s="28"/>
      <c r="AF296" s="30"/>
    </row>
    <row r="297">
      <c r="W297" s="28"/>
      <c r="AF297" s="30"/>
    </row>
    <row r="298">
      <c r="W298" s="28"/>
      <c r="AF298" s="30"/>
    </row>
    <row r="299">
      <c r="W299" s="28"/>
      <c r="AF299" s="30"/>
    </row>
    <row r="300">
      <c r="W300" s="28"/>
      <c r="AF300" s="30"/>
    </row>
    <row r="301">
      <c r="W301" s="28"/>
      <c r="AF301" s="30"/>
    </row>
    <row r="302">
      <c r="W302" s="28"/>
      <c r="AF302" s="30"/>
    </row>
    <row r="303">
      <c r="W303" s="28"/>
      <c r="AF303" s="30"/>
    </row>
    <row r="304">
      <c r="W304" s="28"/>
      <c r="AF304" s="30"/>
    </row>
    <row r="305">
      <c r="W305" s="28"/>
      <c r="AF305" s="30"/>
    </row>
    <row r="306">
      <c r="W306" s="28"/>
      <c r="AF306" s="30"/>
    </row>
    <row r="307">
      <c r="W307" s="28"/>
      <c r="AF307" s="30"/>
    </row>
    <row r="308">
      <c r="W308" s="28"/>
      <c r="AF308" s="30"/>
    </row>
    <row r="309">
      <c r="W309" s="28"/>
      <c r="AF309" s="30"/>
    </row>
    <row r="310">
      <c r="W310" s="28"/>
      <c r="AF310" s="30"/>
    </row>
    <row r="311">
      <c r="W311" s="28"/>
      <c r="AF311" s="30"/>
    </row>
    <row r="312">
      <c r="W312" s="28"/>
      <c r="AF312" s="30"/>
    </row>
    <row r="313">
      <c r="W313" s="28"/>
      <c r="AF313" s="30"/>
    </row>
    <row r="314">
      <c r="W314" s="28"/>
      <c r="AF314" s="30"/>
    </row>
    <row r="315">
      <c r="W315" s="28"/>
      <c r="AF315" s="30"/>
    </row>
    <row r="316">
      <c r="W316" s="28"/>
      <c r="AF316" s="30"/>
    </row>
    <row r="317">
      <c r="W317" s="28"/>
      <c r="AF317" s="30"/>
    </row>
    <row r="318">
      <c r="W318" s="28"/>
      <c r="AF318" s="30"/>
    </row>
    <row r="319">
      <c r="W319" s="28"/>
      <c r="AF319" s="30"/>
    </row>
    <row r="320">
      <c r="W320" s="28"/>
      <c r="AF320" s="30"/>
    </row>
    <row r="321">
      <c r="W321" s="28"/>
      <c r="AF321" s="30"/>
    </row>
    <row r="322">
      <c r="W322" s="28"/>
      <c r="AF322" s="30"/>
    </row>
    <row r="323">
      <c r="W323" s="28"/>
      <c r="AF323" s="30"/>
    </row>
    <row r="324">
      <c r="W324" s="28"/>
      <c r="AF324" s="30"/>
    </row>
    <row r="325">
      <c r="W325" s="28"/>
      <c r="AF325" s="30"/>
    </row>
    <row r="326">
      <c r="W326" s="28"/>
      <c r="AF326" s="30"/>
    </row>
    <row r="327">
      <c r="W327" s="28"/>
      <c r="AF327" s="30"/>
    </row>
    <row r="328">
      <c r="W328" s="28"/>
      <c r="AF328" s="30"/>
    </row>
    <row r="329">
      <c r="W329" s="28"/>
      <c r="AF329" s="30"/>
    </row>
    <row r="330">
      <c r="W330" s="28"/>
      <c r="AF330" s="30"/>
    </row>
    <row r="331">
      <c r="W331" s="28"/>
      <c r="AF331" s="30"/>
    </row>
    <row r="332">
      <c r="W332" s="28"/>
      <c r="AF332" s="30"/>
    </row>
    <row r="333">
      <c r="W333" s="28"/>
      <c r="AF333" s="30"/>
    </row>
    <row r="334">
      <c r="W334" s="28"/>
      <c r="AF334" s="30"/>
    </row>
    <row r="335">
      <c r="W335" s="28"/>
      <c r="AF335" s="30"/>
    </row>
    <row r="336">
      <c r="W336" s="28"/>
      <c r="AF336" s="30"/>
    </row>
    <row r="337">
      <c r="W337" s="28"/>
      <c r="AF337" s="30"/>
    </row>
    <row r="338">
      <c r="W338" s="28"/>
      <c r="AF338" s="30"/>
    </row>
    <row r="339">
      <c r="W339" s="28"/>
      <c r="AF339" s="30"/>
    </row>
    <row r="340">
      <c r="W340" s="28"/>
      <c r="AF340" s="30"/>
    </row>
    <row r="341">
      <c r="W341" s="28"/>
      <c r="AF341" s="30"/>
    </row>
    <row r="342">
      <c r="W342" s="28"/>
      <c r="AF342" s="30"/>
    </row>
    <row r="343">
      <c r="W343" s="28"/>
      <c r="AF343" s="30"/>
    </row>
    <row r="344">
      <c r="W344" s="28"/>
      <c r="AF344" s="30"/>
    </row>
    <row r="345">
      <c r="W345" s="28"/>
      <c r="AF345" s="30"/>
    </row>
    <row r="346">
      <c r="W346" s="28"/>
      <c r="AF346" s="30"/>
    </row>
    <row r="347">
      <c r="W347" s="28"/>
      <c r="AF347" s="30"/>
    </row>
    <row r="348">
      <c r="W348" s="28"/>
      <c r="AF348" s="30"/>
    </row>
    <row r="349">
      <c r="W349" s="28"/>
      <c r="AF349" s="30"/>
    </row>
    <row r="350">
      <c r="W350" s="28"/>
      <c r="AF350" s="30"/>
    </row>
    <row r="351">
      <c r="W351" s="28"/>
      <c r="AF351" s="30"/>
    </row>
    <row r="352">
      <c r="W352" s="28"/>
      <c r="AF352" s="30"/>
    </row>
    <row r="353">
      <c r="W353" s="28"/>
      <c r="AF353" s="30"/>
    </row>
    <row r="354">
      <c r="W354" s="28"/>
      <c r="AF354" s="30"/>
    </row>
    <row r="355">
      <c r="W355" s="28"/>
      <c r="AF355" s="30"/>
    </row>
    <row r="356">
      <c r="W356" s="28"/>
      <c r="AF356" s="30"/>
    </row>
    <row r="357">
      <c r="W357" s="28"/>
      <c r="AF357" s="30"/>
    </row>
    <row r="358">
      <c r="W358" s="28"/>
      <c r="AF358" s="30"/>
    </row>
    <row r="359">
      <c r="W359" s="28"/>
      <c r="AF359" s="30"/>
    </row>
    <row r="360">
      <c r="W360" s="28"/>
      <c r="AF360" s="30"/>
    </row>
    <row r="361">
      <c r="W361" s="28"/>
      <c r="AF361" s="30"/>
    </row>
    <row r="362">
      <c r="W362" s="28"/>
      <c r="AF362" s="30"/>
    </row>
    <row r="363">
      <c r="W363" s="28"/>
      <c r="AF363" s="30"/>
    </row>
    <row r="364">
      <c r="W364" s="28"/>
      <c r="AF364" s="30"/>
    </row>
    <row r="365">
      <c r="W365" s="28"/>
      <c r="AF365" s="30"/>
    </row>
    <row r="366">
      <c r="W366" s="28"/>
      <c r="AF366" s="30"/>
    </row>
    <row r="367">
      <c r="W367" s="28"/>
      <c r="AF367" s="30"/>
    </row>
    <row r="368">
      <c r="W368" s="28"/>
      <c r="AF368" s="30"/>
    </row>
    <row r="369">
      <c r="W369" s="28"/>
      <c r="AF369" s="30"/>
    </row>
    <row r="370">
      <c r="W370" s="28"/>
      <c r="AF370" s="30"/>
    </row>
    <row r="371">
      <c r="W371" s="28"/>
      <c r="AF371" s="30"/>
    </row>
    <row r="372">
      <c r="W372" s="28"/>
      <c r="AF372" s="30"/>
    </row>
    <row r="373">
      <c r="W373" s="28"/>
      <c r="AF373" s="30"/>
    </row>
    <row r="374">
      <c r="W374" s="28"/>
      <c r="AF374" s="30"/>
    </row>
    <row r="375">
      <c r="W375" s="28"/>
      <c r="AF375" s="30"/>
    </row>
    <row r="376">
      <c r="W376" s="28"/>
      <c r="AF376" s="30"/>
    </row>
    <row r="377">
      <c r="W377" s="28"/>
      <c r="AF377" s="30"/>
    </row>
    <row r="378">
      <c r="W378" s="28"/>
      <c r="AF378" s="30"/>
    </row>
    <row r="379">
      <c r="W379" s="28"/>
      <c r="AF379" s="30"/>
    </row>
    <row r="380">
      <c r="W380" s="28"/>
      <c r="AF380" s="30"/>
    </row>
    <row r="381">
      <c r="W381" s="28"/>
      <c r="AF381" s="30"/>
    </row>
    <row r="382">
      <c r="W382" s="28"/>
      <c r="AF382" s="30"/>
    </row>
    <row r="383">
      <c r="W383" s="28"/>
      <c r="AF383" s="30"/>
    </row>
    <row r="384">
      <c r="W384" s="28"/>
      <c r="AF384" s="30"/>
    </row>
    <row r="385">
      <c r="W385" s="28"/>
      <c r="AF385" s="30"/>
    </row>
    <row r="386">
      <c r="W386" s="28"/>
      <c r="AF386" s="30"/>
    </row>
    <row r="387">
      <c r="W387" s="28"/>
      <c r="AF387" s="30"/>
    </row>
    <row r="388">
      <c r="W388" s="28"/>
      <c r="AF388" s="30"/>
    </row>
    <row r="389">
      <c r="W389" s="28"/>
      <c r="AF389" s="30"/>
    </row>
    <row r="390">
      <c r="W390" s="28"/>
      <c r="AF390" s="30"/>
    </row>
    <row r="391">
      <c r="W391" s="28"/>
      <c r="AF391" s="30"/>
    </row>
    <row r="392">
      <c r="W392" s="28"/>
      <c r="AF392" s="30"/>
    </row>
    <row r="393">
      <c r="W393" s="28"/>
      <c r="AF393" s="30"/>
    </row>
    <row r="394">
      <c r="W394" s="28"/>
      <c r="AF394" s="30"/>
    </row>
    <row r="395">
      <c r="W395" s="28"/>
      <c r="AF395" s="30"/>
    </row>
    <row r="396">
      <c r="W396" s="28"/>
      <c r="AF396" s="30"/>
    </row>
    <row r="397">
      <c r="W397" s="28"/>
      <c r="AF397" s="30"/>
    </row>
    <row r="398">
      <c r="W398" s="28"/>
      <c r="AF398" s="30"/>
    </row>
    <row r="399">
      <c r="W399" s="28"/>
      <c r="AF399" s="30"/>
    </row>
    <row r="400">
      <c r="W400" s="28"/>
      <c r="AF400" s="30"/>
    </row>
    <row r="401">
      <c r="W401" s="28"/>
      <c r="AF401" s="30"/>
    </row>
    <row r="402">
      <c r="W402" s="28"/>
      <c r="AF402" s="30"/>
    </row>
    <row r="403">
      <c r="W403" s="28"/>
      <c r="AF403" s="30"/>
    </row>
    <row r="404">
      <c r="W404" s="28"/>
      <c r="AF404" s="30"/>
    </row>
    <row r="405">
      <c r="W405" s="28"/>
      <c r="AF405" s="30"/>
    </row>
    <row r="406">
      <c r="W406" s="28"/>
      <c r="AF406" s="30"/>
    </row>
    <row r="407">
      <c r="W407" s="28"/>
      <c r="AF407" s="30"/>
    </row>
    <row r="408">
      <c r="W408" s="28"/>
      <c r="AF408" s="30"/>
    </row>
    <row r="409">
      <c r="W409" s="28"/>
      <c r="AF409" s="30"/>
    </row>
    <row r="410">
      <c r="W410" s="28"/>
      <c r="AF410" s="30"/>
    </row>
    <row r="411">
      <c r="W411" s="28"/>
      <c r="AF411" s="30"/>
    </row>
    <row r="412">
      <c r="W412" s="28"/>
      <c r="AF412" s="30"/>
    </row>
    <row r="413">
      <c r="W413" s="28"/>
      <c r="AF413" s="30"/>
    </row>
    <row r="414">
      <c r="W414" s="28"/>
      <c r="AF414" s="30"/>
    </row>
    <row r="415">
      <c r="W415" s="28"/>
      <c r="AF415" s="30"/>
    </row>
    <row r="416">
      <c r="W416" s="28"/>
      <c r="AF416" s="30"/>
    </row>
    <row r="417">
      <c r="W417" s="28"/>
      <c r="AF417" s="30"/>
    </row>
    <row r="418">
      <c r="W418" s="28"/>
      <c r="AF418" s="30"/>
    </row>
    <row r="419">
      <c r="W419" s="28"/>
      <c r="AF419" s="30"/>
    </row>
    <row r="420">
      <c r="W420" s="28"/>
      <c r="AF420" s="30"/>
    </row>
    <row r="421">
      <c r="W421" s="28"/>
      <c r="AF421" s="30"/>
    </row>
    <row r="422">
      <c r="W422" s="28"/>
      <c r="AF422" s="30"/>
    </row>
    <row r="423">
      <c r="W423" s="28"/>
      <c r="AF423" s="30"/>
    </row>
    <row r="424">
      <c r="W424" s="28"/>
      <c r="AF424" s="30"/>
    </row>
    <row r="425">
      <c r="W425" s="28"/>
      <c r="AF425" s="30"/>
    </row>
    <row r="426">
      <c r="W426" s="28"/>
      <c r="AF426" s="30"/>
    </row>
    <row r="427">
      <c r="W427" s="28"/>
      <c r="AF427" s="30"/>
    </row>
    <row r="428">
      <c r="W428" s="28"/>
      <c r="AF428" s="30"/>
    </row>
    <row r="429">
      <c r="W429" s="28"/>
      <c r="AF429" s="30"/>
    </row>
    <row r="430">
      <c r="W430" s="28"/>
      <c r="AF430" s="30"/>
    </row>
    <row r="431">
      <c r="W431" s="28"/>
      <c r="AF431" s="30"/>
    </row>
    <row r="432">
      <c r="W432" s="28"/>
      <c r="AF432" s="30"/>
    </row>
    <row r="433">
      <c r="W433" s="28"/>
      <c r="AF433" s="30"/>
    </row>
    <row r="434">
      <c r="W434" s="28"/>
      <c r="AF434" s="30"/>
    </row>
    <row r="435">
      <c r="W435" s="28"/>
      <c r="AF435" s="30"/>
    </row>
    <row r="436">
      <c r="W436" s="28"/>
      <c r="AF436" s="30"/>
    </row>
    <row r="437">
      <c r="W437" s="28"/>
      <c r="AF437" s="30"/>
    </row>
    <row r="438">
      <c r="W438" s="28"/>
      <c r="AF438" s="30"/>
    </row>
    <row r="439">
      <c r="W439" s="28"/>
      <c r="AF439" s="30"/>
    </row>
    <row r="440">
      <c r="W440" s="28"/>
      <c r="AF440" s="30"/>
    </row>
    <row r="441">
      <c r="W441" s="28"/>
      <c r="AF441" s="30"/>
    </row>
    <row r="442">
      <c r="W442" s="28"/>
      <c r="AF442" s="30"/>
    </row>
    <row r="443">
      <c r="W443" s="28"/>
      <c r="AF443" s="30"/>
    </row>
    <row r="444">
      <c r="W444" s="28"/>
      <c r="AF444" s="30"/>
    </row>
    <row r="445">
      <c r="W445" s="28"/>
      <c r="AF445" s="30"/>
    </row>
    <row r="446">
      <c r="W446" s="28"/>
      <c r="AF446" s="30"/>
    </row>
    <row r="447">
      <c r="W447" s="28"/>
      <c r="AF447" s="30"/>
    </row>
    <row r="448">
      <c r="W448" s="28"/>
      <c r="AF448" s="30"/>
    </row>
    <row r="449">
      <c r="W449" s="28"/>
      <c r="AF449" s="30"/>
    </row>
    <row r="450">
      <c r="W450" s="28"/>
      <c r="AF450" s="30"/>
    </row>
    <row r="451">
      <c r="W451" s="28"/>
      <c r="AF451" s="30"/>
    </row>
    <row r="452">
      <c r="W452" s="28"/>
      <c r="AF452" s="30"/>
    </row>
    <row r="453">
      <c r="W453" s="28"/>
      <c r="AF453" s="30"/>
    </row>
    <row r="454">
      <c r="W454" s="28"/>
      <c r="AF454" s="30"/>
    </row>
    <row r="455">
      <c r="W455" s="28"/>
      <c r="AF455" s="30"/>
    </row>
    <row r="456">
      <c r="W456" s="28"/>
      <c r="AF456" s="30"/>
    </row>
    <row r="457">
      <c r="W457" s="28"/>
      <c r="AF457" s="30"/>
    </row>
    <row r="458">
      <c r="W458" s="28"/>
      <c r="AF458" s="30"/>
    </row>
    <row r="459">
      <c r="W459" s="28"/>
      <c r="AF459" s="30"/>
    </row>
    <row r="460">
      <c r="W460" s="28"/>
      <c r="AF460" s="30"/>
    </row>
    <row r="461">
      <c r="W461" s="28"/>
      <c r="AF461" s="30"/>
    </row>
    <row r="462">
      <c r="W462" s="28"/>
      <c r="AF462" s="30"/>
    </row>
    <row r="463">
      <c r="W463" s="28"/>
      <c r="AF463" s="30"/>
    </row>
    <row r="464">
      <c r="W464" s="28"/>
      <c r="AF464" s="30"/>
    </row>
    <row r="465">
      <c r="W465" s="28"/>
      <c r="AF465" s="30"/>
    </row>
    <row r="466">
      <c r="W466" s="28"/>
      <c r="AF466" s="30"/>
    </row>
    <row r="467">
      <c r="W467" s="28"/>
      <c r="AF467" s="30"/>
    </row>
    <row r="468">
      <c r="W468" s="28"/>
      <c r="AF468" s="30"/>
    </row>
    <row r="469">
      <c r="W469" s="28"/>
      <c r="AF469" s="30"/>
    </row>
    <row r="470">
      <c r="W470" s="28"/>
      <c r="AF470" s="30"/>
    </row>
    <row r="471">
      <c r="W471" s="28"/>
      <c r="AF471" s="30"/>
    </row>
    <row r="472">
      <c r="W472" s="28"/>
      <c r="AF472" s="30"/>
    </row>
    <row r="473">
      <c r="W473" s="28"/>
      <c r="AF473" s="30"/>
    </row>
    <row r="474">
      <c r="W474" s="28"/>
      <c r="AF474" s="30"/>
    </row>
    <row r="475">
      <c r="W475" s="28"/>
      <c r="AF475" s="30"/>
    </row>
    <row r="476">
      <c r="W476" s="28"/>
      <c r="AF476" s="30"/>
    </row>
    <row r="477">
      <c r="W477" s="28"/>
      <c r="AF477" s="30"/>
    </row>
    <row r="478">
      <c r="W478" s="28"/>
      <c r="AF478" s="30"/>
    </row>
    <row r="479">
      <c r="W479" s="28"/>
      <c r="AF479" s="30"/>
    </row>
    <row r="480">
      <c r="W480" s="28"/>
      <c r="AF480" s="30"/>
    </row>
    <row r="481">
      <c r="W481" s="28"/>
      <c r="AF481" s="30"/>
    </row>
    <row r="482">
      <c r="W482" s="28"/>
      <c r="AF482" s="30"/>
    </row>
    <row r="483">
      <c r="W483" s="28"/>
      <c r="AF483" s="30"/>
    </row>
    <row r="484">
      <c r="W484" s="28"/>
      <c r="AF484" s="30"/>
    </row>
    <row r="485">
      <c r="W485" s="28"/>
      <c r="AF485" s="30"/>
    </row>
    <row r="486">
      <c r="W486" s="28"/>
      <c r="AF486" s="30"/>
    </row>
    <row r="487">
      <c r="W487" s="28"/>
      <c r="AF487" s="30"/>
    </row>
    <row r="488">
      <c r="W488" s="28"/>
      <c r="AF488" s="30"/>
    </row>
    <row r="489">
      <c r="W489" s="28"/>
      <c r="AF489" s="30"/>
    </row>
    <row r="490">
      <c r="W490" s="28"/>
      <c r="AF490" s="30"/>
    </row>
    <row r="491">
      <c r="W491" s="28"/>
      <c r="AF491" s="30"/>
    </row>
    <row r="492">
      <c r="W492" s="28"/>
      <c r="AF492" s="30"/>
    </row>
    <row r="493">
      <c r="W493" s="28"/>
      <c r="AF493" s="30"/>
    </row>
    <row r="494">
      <c r="W494" s="28"/>
      <c r="AF494" s="30"/>
    </row>
    <row r="495">
      <c r="W495" s="28"/>
      <c r="AF495" s="30"/>
    </row>
    <row r="496">
      <c r="W496" s="28"/>
      <c r="AF496" s="30"/>
    </row>
    <row r="497">
      <c r="W497" s="28"/>
      <c r="AF497" s="30"/>
    </row>
    <row r="498">
      <c r="W498" s="28"/>
      <c r="AF498" s="30"/>
    </row>
    <row r="499">
      <c r="W499" s="28"/>
      <c r="AF499" s="30"/>
    </row>
    <row r="500">
      <c r="W500" s="28"/>
      <c r="AF500" s="30"/>
    </row>
    <row r="501">
      <c r="W501" s="28"/>
      <c r="AF501" s="30"/>
    </row>
    <row r="502">
      <c r="W502" s="28"/>
      <c r="AF502" s="30"/>
    </row>
    <row r="503">
      <c r="W503" s="28"/>
      <c r="AF503" s="30"/>
    </row>
    <row r="504">
      <c r="W504" s="28"/>
      <c r="AF504" s="30"/>
    </row>
    <row r="505">
      <c r="W505" s="28"/>
      <c r="AF505" s="30"/>
    </row>
    <row r="506">
      <c r="W506" s="28"/>
      <c r="AF506" s="30"/>
    </row>
    <row r="507">
      <c r="W507" s="28"/>
      <c r="AF507" s="30"/>
    </row>
    <row r="508">
      <c r="W508" s="28"/>
      <c r="AF508" s="30"/>
    </row>
    <row r="509">
      <c r="W509" s="28"/>
      <c r="AF509" s="30"/>
    </row>
    <row r="510">
      <c r="W510" s="28"/>
      <c r="AF510" s="30"/>
    </row>
    <row r="511">
      <c r="W511" s="28"/>
      <c r="AF511" s="30"/>
    </row>
    <row r="512">
      <c r="W512" s="28"/>
      <c r="AF512" s="30"/>
    </row>
    <row r="513">
      <c r="W513" s="28"/>
      <c r="AF513" s="30"/>
    </row>
    <row r="514">
      <c r="W514" s="28"/>
      <c r="AF514" s="30"/>
    </row>
    <row r="515">
      <c r="W515" s="28"/>
      <c r="AF515" s="30"/>
    </row>
    <row r="516">
      <c r="W516" s="28"/>
      <c r="AF516" s="30"/>
    </row>
    <row r="517">
      <c r="W517" s="28"/>
      <c r="AF517" s="30"/>
    </row>
    <row r="518">
      <c r="W518" s="28"/>
      <c r="AF518" s="30"/>
    </row>
    <row r="519">
      <c r="W519" s="28"/>
      <c r="AF519" s="30"/>
    </row>
    <row r="520">
      <c r="W520" s="28"/>
      <c r="AF520" s="30"/>
    </row>
    <row r="521">
      <c r="W521" s="28"/>
      <c r="AF521" s="30"/>
    </row>
    <row r="522">
      <c r="W522" s="28"/>
      <c r="AF522" s="30"/>
    </row>
    <row r="523">
      <c r="W523" s="28"/>
      <c r="AF523" s="30"/>
    </row>
    <row r="524">
      <c r="W524" s="28"/>
      <c r="AF524" s="30"/>
    </row>
    <row r="525">
      <c r="W525" s="28"/>
      <c r="AF525" s="30"/>
    </row>
    <row r="526">
      <c r="W526" s="28"/>
      <c r="AF526" s="30"/>
    </row>
    <row r="527">
      <c r="W527" s="28"/>
      <c r="AF527" s="30"/>
    </row>
    <row r="528">
      <c r="W528" s="28"/>
      <c r="AF528" s="30"/>
    </row>
    <row r="529">
      <c r="W529" s="28"/>
      <c r="AF529" s="30"/>
    </row>
    <row r="530">
      <c r="W530" s="28"/>
      <c r="AF530" s="30"/>
    </row>
    <row r="531">
      <c r="W531" s="28"/>
      <c r="AF531" s="30"/>
    </row>
    <row r="532">
      <c r="W532" s="28"/>
      <c r="AF532" s="30"/>
    </row>
    <row r="533">
      <c r="W533" s="28"/>
      <c r="AF533" s="30"/>
    </row>
    <row r="534">
      <c r="W534" s="28"/>
      <c r="AF534" s="30"/>
    </row>
    <row r="535">
      <c r="W535" s="28"/>
      <c r="AF535" s="30"/>
    </row>
    <row r="536">
      <c r="W536" s="28"/>
      <c r="AF536" s="30"/>
    </row>
    <row r="537">
      <c r="W537" s="28"/>
      <c r="AF537" s="30"/>
    </row>
    <row r="538">
      <c r="W538" s="28"/>
      <c r="AF538" s="30"/>
    </row>
    <row r="539">
      <c r="W539" s="28"/>
      <c r="AF539" s="30"/>
    </row>
    <row r="540">
      <c r="W540" s="28"/>
      <c r="AF540" s="30"/>
    </row>
    <row r="541">
      <c r="W541" s="28"/>
      <c r="AF541" s="30"/>
    </row>
    <row r="542">
      <c r="W542" s="28"/>
      <c r="AF542" s="30"/>
    </row>
    <row r="543">
      <c r="W543" s="28"/>
      <c r="AF543" s="30"/>
    </row>
    <row r="544">
      <c r="W544" s="28"/>
      <c r="AF544" s="30"/>
    </row>
    <row r="545">
      <c r="W545" s="28"/>
      <c r="AF545" s="30"/>
    </row>
    <row r="546">
      <c r="W546" s="28"/>
      <c r="AF546" s="30"/>
    </row>
    <row r="547">
      <c r="W547" s="28"/>
      <c r="AF547" s="30"/>
    </row>
    <row r="548">
      <c r="W548" s="28"/>
      <c r="AF548" s="30"/>
    </row>
    <row r="549">
      <c r="W549" s="28"/>
      <c r="AF549" s="30"/>
    </row>
    <row r="550">
      <c r="W550" s="28"/>
      <c r="AF550" s="30"/>
    </row>
    <row r="551">
      <c r="W551" s="28"/>
      <c r="AF551" s="30"/>
    </row>
    <row r="552">
      <c r="W552" s="28"/>
      <c r="AF552" s="30"/>
    </row>
    <row r="553">
      <c r="W553" s="28"/>
      <c r="AF553" s="30"/>
    </row>
    <row r="554">
      <c r="W554" s="28"/>
      <c r="AF554" s="30"/>
    </row>
    <row r="555">
      <c r="W555" s="28"/>
      <c r="AF555" s="30"/>
    </row>
    <row r="556">
      <c r="W556" s="28"/>
      <c r="AF556" s="30"/>
    </row>
    <row r="557">
      <c r="W557" s="28"/>
      <c r="AF557" s="30"/>
    </row>
    <row r="558">
      <c r="W558" s="28"/>
      <c r="AF558" s="30"/>
    </row>
    <row r="559">
      <c r="W559" s="28"/>
      <c r="AF559" s="30"/>
    </row>
    <row r="560">
      <c r="W560" s="28"/>
      <c r="AF560" s="30"/>
    </row>
    <row r="561">
      <c r="W561" s="28"/>
      <c r="AF561" s="30"/>
    </row>
    <row r="562">
      <c r="W562" s="28"/>
      <c r="AF562" s="30"/>
    </row>
    <row r="563">
      <c r="W563" s="28"/>
      <c r="AF563" s="30"/>
    </row>
    <row r="564">
      <c r="W564" s="28"/>
      <c r="AF564" s="30"/>
    </row>
    <row r="565">
      <c r="W565" s="28"/>
      <c r="AF565" s="30"/>
    </row>
    <row r="566">
      <c r="W566" s="28"/>
      <c r="AF566" s="30"/>
    </row>
    <row r="567">
      <c r="W567" s="28"/>
      <c r="AF567" s="30"/>
    </row>
    <row r="568">
      <c r="W568" s="28"/>
      <c r="AF568" s="30"/>
    </row>
    <row r="569">
      <c r="W569" s="28"/>
      <c r="AF569" s="30"/>
    </row>
    <row r="570">
      <c r="W570" s="28"/>
      <c r="AF570" s="30"/>
    </row>
    <row r="571">
      <c r="W571" s="28"/>
      <c r="AF571" s="30"/>
    </row>
    <row r="572">
      <c r="W572" s="28"/>
      <c r="AF572" s="30"/>
    </row>
    <row r="573">
      <c r="W573" s="28"/>
      <c r="AF573" s="30"/>
    </row>
    <row r="574">
      <c r="W574" s="28"/>
      <c r="AF574" s="30"/>
    </row>
    <row r="575">
      <c r="W575" s="28"/>
      <c r="AF575" s="30"/>
    </row>
    <row r="576">
      <c r="W576" s="28"/>
      <c r="AF576" s="30"/>
    </row>
    <row r="577">
      <c r="W577" s="28"/>
      <c r="AF577" s="30"/>
    </row>
    <row r="578">
      <c r="W578" s="28"/>
      <c r="AF578" s="30"/>
    </row>
    <row r="579">
      <c r="W579" s="28"/>
      <c r="AF579" s="30"/>
    </row>
    <row r="580">
      <c r="W580" s="28"/>
      <c r="AF580" s="30"/>
    </row>
    <row r="581">
      <c r="W581" s="28"/>
      <c r="AF581" s="30"/>
    </row>
    <row r="582">
      <c r="W582" s="28"/>
      <c r="AF582" s="30"/>
    </row>
    <row r="583">
      <c r="W583" s="28"/>
      <c r="AF583" s="30"/>
    </row>
    <row r="584">
      <c r="W584" s="28"/>
      <c r="AF584" s="30"/>
    </row>
    <row r="585">
      <c r="W585" s="28"/>
      <c r="AF585" s="30"/>
    </row>
    <row r="586">
      <c r="W586" s="28"/>
      <c r="AF586" s="30"/>
    </row>
    <row r="587">
      <c r="W587" s="28"/>
      <c r="AF587" s="30"/>
    </row>
    <row r="588">
      <c r="W588" s="28"/>
      <c r="AF588" s="30"/>
    </row>
    <row r="589">
      <c r="W589" s="28"/>
      <c r="AF589" s="30"/>
    </row>
    <row r="590">
      <c r="W590" s="28"/>
      <c r="AF590" s="30"/>
    </row>
    <row r="591">
      <c r="W591" s="28"/>
      <c r="AF591" s="30"/>
    </row>
    <row r="592">
      <c r="W592" s="28"/>
      <c r="AF592" s="30"/>
    </row>
    <row r="593">
      <c r="W593" s="28"/>
      <c r="AF593" s="30"/>
    </row>
    <row r="594">
      <c r="W594" s="28"/>
      <c r="AF594" s="30"/>
    </row>
    <row r="595">
      <c r="W595" s="28"/>
      <c r="AF595" s="30"/>
    </row>
    <row r="596">
      <c r="W596" s="28"/>
      <c r="AF596" s="30"/>
    </row>
    <row r="597">
      <c r="W597" s="28"/>
      <c r="AF597" s="30"/>
    </row>
    <row r="598">
      <c r="W598" s="28"/>
      <c r="AF598" s="30"/>
    </row>
    <row r="599">
      <c r="W599" s="28"/>
      <c r="AF599" s="30"/>
    </row>
    <row r="600">
      <c r="W600" s="28"/>
      <c r="AF600" s="30"/>
    </row>
    <row r="601">
      <c r="W601" s="28"/>
      <c r="AF601" s="30"/>
    </row>
    <row r="602">
      <c r="W602" s="28"/>
      <c r="AF602" s="30"/>
    </row>
    <row r="603">
      <c r="W603" s="28"/>
      <c r="AF603" s="30"/>
    </row>
    <row r="604">
      <c r="W604" s="28"/>
      <c r="AF604" s="30"/>
    </row>
    <row r="605">
      <c r="W605" s="28"/>
      <c r="AF605" s="30"/>
    </row>
    <row r="606">
      <c r="W606" s="28"/>
      <c r="AF606" s="30"/>
    </row>
    <row r="607">
      <c r="W607" s="28"/>
      <c r="AF607" s="30"/>
    </row>
    <row r="608">
      <c r="W608" s="28"/>
      <c r="AF608" s="30"/>
    </row>
    <row r="609">
      <c r="W609" s="28"/>
      <c r="AF609" s="30"/>
    </row>
    <row r="610">
      <c r="W610" s="28"/>
      <c r="AF610" s="30"/>
    </row>
    <row r="611">
      <c r="W611" s="28"/>
      <c r="AF611" s="30"/>
    </row>
    <row r="612">
      <c r="W612" s="28"/>
      <c r="AF612" s="30"/>
    </row>
    <row r="613">
      <c r="W613" s="28"/>
      <c r="AF613" s="30"/>
    </row>
    <row r="614">
      <c r="W614" s="28"/>
      <c r="AF614" s="30"/>
    </row>
    <row r="615">
      <c r="W615" s="28"/>
      <c r="AF615" s="30"/>
    </row>
    <row r="616">
      <c r="W616" s="28"/>
      <c r="AF616" s="30"/>
    </row>
    <row r="617">
      <c r="W617" s="28"/>
      <c r="AF617" s="30"/>
    </row>
    <row r="618">
      <c r="W618" s="28"/>
      <c r="AF618" s="30"/>
    </row>
    <row r="619">
      <c r="W619" s="28"/>
      <c r="AF619" s="30"/>
    </row>
    <row r="620">
      <c r="W620" s="28"/>
      <c r="AF620" s="30"/>
    </row>
    <row r="621">
      <c r="W621" s="28"/>
      <c r="AF621" s="30"/>
    </row>
    <row r="622">
      <c r="W622" s="28"/>
      <c r="AF622" s="30"/>
    </row>
    <row r="623">
      <c r="W623" s="28"/>
      <c r="AF623" s="30"/>
    </row>
    <row r="624">
      <c r="W624" s="28"/>
      <c r="AF624" s="30"/>
    </row>
    <row r="625">
      <c r="W625" s="28"/>
      <c r="AF625" s="30"/>
    </row>
    <row r="626">
      <c r="W626" s="28"/>
      <c r="AF626" s="30"/>
    </row>
    <row r="627">
      <c r="W627" s="28"/>
      <c r="AF627" s="30"/>
    </row>
    <row r="628">
      <c r="W628" s="28"/>
      <c r="AF628" s="30"/>
    </row>
    <row r="629">
      <c r="W629" s="28"/>
      <c r="AF629" s="30"/>
    </row>
    <row r="630">
      <c r="W630" s="28"/>
      <c r="AF630" s="30"/>
    </row>
    <row r="631">
      <c r="W631" s="28"/>
      <c r="AF631" s="30"/>
    </row>
    <row r="632">
      <c r="W632" s="28"/>
      <c r="AF632" s="30"/>
    </row>
    <row r="633">
      <c r="W633" s="28"/>
      <c r="AF633" s="30"/>
    </row>
    <row r="634">
      <c r="W634" s="28"/>
      <c r="AF634" s="30"/>
    </row>
    <row r="635">
      <c r="W635" s="28"/>
      <c r="AF635" s="30"/>
    </row>
    <row r="636">
      <c r="W636" s="28"/>
      <c r="AF636" s="30"/>
    </row>
    <row r="637">
      <c r="W637" s="28"/>
      <c r="AF637" s="30"/>
    </row>
    <row r="638">
      <c r="W638" s="28"/>
      <c r="AF638" s="30"/>
    </row>
    <row r="639">
      <c r="W639" s="28"/>
      <c r="AF639" s="30"/>
    </row>
    <row r="640">
      <c r="W640" s="28"/>
      <c r="AF640" s="30"/>
    </row>
    <row r="641">
      <c r="W641" s="28"/>
      <c r="AF641" s="30"/>
    </row>
    <row r="642">
      <c r="W642" s="28"/>
      <c r="AF642" s="30"/>
    </row>
    <row r="643">
      <c r="W643" s="28"/>
      <c r="AF643" s="30"/>
    </row>
    <row r="644">
      <c r="W644" s="28"/>
      <c r="AF644" s="30"/>
    </row>
    <row r="645">
      <c r="W645" s="28"/>
      <c r="AF645" s="30"/>
    </row>
    <row r="646">
      <c r="W646" s="28"/>
      <c r="AF646" s="30"/>
    </row>
    <row r="647">
      <c r="W647" s="28"/>
      <c r="AF647" s="30"/>
    </row>
    <row r="648">
      <c r="W648" s="28"/>
      <c r="AF648" s="30"/>
    </row>
    <row r="649">
      <c r="W649" s="28"/>
      <c r="AF649" s="30"/>
    </row>
    <row r="650">
      <c r="W650" s="28"/>
      <c r="AF650" s="30"/>
    </row>
    <row r="651">
      <c r="W651" s="28"/>
      <c r="AF651" s="30"/>
    </row>
    <row r="652">
      <c r="W652" s="28"/>
      <c r="AF652" s="30"/>
    </row>
    <row r="653">
      <c r="W653" s="28"/>
      <c r="AF653" s="30"/>
    </row>
    <row r="654">
      <c r="W654" s="28"/>
      <c r="AF654" s="30"/>
    </row>
    <row r="655">
      <c r="W655" s="28"/>
      <c r="AF655" s="30"/>
    </row>
    <row r="656">
      <c r="W656" s="28"/>
      <c r="AF656" s="30"/>
    </row>
    <row r="657">
      <c r="W657" s="28"/>
      <c r="AF657" s="30"/>
    </row>
    <row r="658">
      <c r="W658" s="28"/>
      <c r="AF658" s="30"/>
    </row>
    <row r="659">
      <c r="W659" s="28"/>
      <c r="AF659" s="30"/>
    </row>
    <row r="660">
      <c r="W660" s="28"/>
      <c r="AF660" s="30"/>
    </row>
    <row r="661">
      <c r="W661" s="28"/>
      <c r="AF661" s="30"/>
    </row>
    <row r="662">
      <c r="W662" s="28"/>
      <c r="AF662" s="30"/>
    </row>
    <row r="663">
      <c r="W663" s="28"/>
      <c r="AF663" s="30"/>
    </row>
    <row r="664">
      <c r="W664" s="28"/>
      <c r="AF664" s="30"/>
    </row>
    <row r="665">
      <c r="W665" s="28"/>
      <c r="AF665" s="30"/>
    </row>
    <row r="666">
      <c r="W666" s="28"/>
      <c r="AF666" s="30"/>
    </row>
    <row r="667">
      <c r="W667" s="28"/>
      <c r="AF667" s="30"/>
    </row>
    <row r="668">
      <c r="W668" s="28"/>
      <c r="AF668" s="30"/>
    </row>
    <row r="669">
      <c r="W669" s="28"/>
      <c r="AF669" s="30"/>
    </row>
    <row r="670">
      <c r="W670" s="28"/>
      <c r="AF670" s="30"/>
    </row>
    <row r="671">
      <c r="W671" s="28"/>
      <c r="AF671" s="30"/>
    </row>
    <row r="672">
      <c r="W672" s="28"/>
      <c r="AF672" s="30"/>
    </row>
    <row r="673">
      <c r="W673" s="28"/>
      <c r="AF673" s="30"/>
    </row>
    <row r="674">
      <c r="W674" s="28"/>
      <c r="AF674" s="30"/>
    </row>
    <row r="675">
      <c r="W675" s="28"/>
      <c r="AF675" s="30"/>
    </row>
    <row r="676">
      <c r="W676" s="28"/>
      <c r="AF676" s="30"/>
    </row>
    <row r="677">
      <c r="W677" s="28"/>
      <c r="AF677" s="30"/>
    </row>
    <row r="678">
      <c r="W678" s="28"/>
      <c r="AF678" s="30"/>
    </row>
    <row r="679">
      <c r="W679" s="28"/>
      <c r="AF679" s="30"/>
    </row>
    <row r="680">
      <c r="W680" s="28"/>
      <c r="AF680" s="30"/>
    </row>
    <row r="681">
      <c r="W681" s="28"/>
      <c r="AF681" s="30"/>
    </row>
    <row r="682">
      <c r="W682" s="28"/>
      <c r="AF682" s="30"/>
    </row>
    <row r="683">
      <c r="W683" s="28"/>
      <c r="AF683" s="30"/>
    </row>
    <row r="684">
      <c r="W684" s="28"/>
      <c r="AF684" s="30"/>
    </row>
    <row r="685">
      <c r="W685" s="28"/>
      <c r="AF685" s="30"/>
    </row>
    <row r="686">
      <c r="W686" s="28"/>
      <c r="AF686" s="30"/>
    </row>
    <row r="687">
      <c r="W687" s="28"/>
      <c r="AF687" s="30"/>
    </row>
    <row r="688">
      <c r="W688" s="28"/>
      <c r="AF688" s="30"/>
    </row>
    <row r="689">
      <c r="W689" s="28"/>
      <c r="AF689" s="30"/>
    </row>
    <row r="690">
      <c r="W690" s="28"/>
      <c r="AF690" s="30"/>
    </row>
    <row r="691">
      <c r="W691" s="28"/>
      <c r="AF691" s="30"/>
    </row>
    <row r="692">
      <c r="W692" s="28"/>
      <c r="AF692" s="30"/>
    </row>
    <row r="693">
      <c r="W693" s="28"/>
      <c r="AF693" s="30"/>
    </row>
    <row r="694">
      <c r="W694" s="28"/>
      <c r="AF694" s="30"/>
    </row>
    <row r="695">
      <c r="W695" s="28"/>
      <c r="AF695" s="30"/>
    </row>
    <row r="696">
      <c r="W696" s="28"/>
      <c r="AF696" s="30"/>
    </row>
    <row r="697">
      <c r="W697" s="28"/>
      <c r="AF697" s="30"/>
    </row>
    <row r="698">
      <c r="W698" s="28"/>
      <c r="AF698" s="30"/>
    </row>
    <row r="699">
      <c r="W699" s="28"/>
      <c r="AF699" s="30"/>
    </row>
    <row r="700">
      <c r="W700" s="28"/>
      <c r="AF700" s="30"/>
    </row>
    <row r="701">
      <c r="W701" s="28"/>
      <c r="AF701" s="30"/>
    </row>
    <row r="702">
      <c r="W702" s="28"/>
      <c r="AF702" s="30"/>
    </row>
    <row r="703">
      <c r="W703" s="28"/>
      <c r="AF703" s="30"/>
    </row>
    <row r="704">
      <c r="W704" s="28"/>
      <c r="AF704" s="30"/>
    </row>
    <row r="705">
      <c r="W705" s="28"/>
      <c r="AF705" s="30"/>
    </row>
    <row r="706">
      <c r="W706" s="28"/>
      <c r="AF706" s="30"/>
    </row>
    <row r="707">
      <c r="W707" s="28"/>
      <c r="AF707" s="30"/>
    </row>
    <row r="708">
      <c r="W708" s="28"/>
      <c r="AF708" s="30"/>
    </row>
    <row r="709">
      <c r="W709" s="28"/>
      <c r="AF709" s="30"/>
    </row>
    <row r="710">
      <c r="W710" s="28"/>
      <c r="AF710" s="30"/>
    </row>
    <row r="711">
      <c r="W711" s="28"/>
      <c r="AF711" s="30"/>
    </row>
    <row r="712">
      <c r="W712" s="28"/>
      <c r="AF712" s="30"/>
    </row>
    <row r="713">
      <c r="W713" s="28"/>
      <c r="AF713" s="30"/>
    </row>
    <row r="714">
      <c r="W714" s="28"/>
      <c r="AF714" s="30"/>
    </row>
    <row r="715">
      <c r="W715" s="28"/>
      <c r="AF715" s="30"/>
    </row>
    <row r="716">
      <c r="W716" s="28"/>
      <c r="AF716" s="30"/>
    </row>
    <row r="717">
      <c r="W717" s="28"/>
      <c r="AF717" s="30"/>
    </row>
    <row r="718">
      <c r="W718" s="28"/>
      <c r="AF718" s="30"/>
    </row>
    <row r="719">
      <c r="W719" s="28"/>
      <c r="AF719" s="30"/>
    </row>
    <row r="720">
      <c r="W720" s="28"/>
      <c r="AF720" s="30"/>
    </row>
    <row r="721">
      <c r="W721" s="28"/>
      <c r="AF721" s="30"/>
    </row>
    <row r="722">
      <c r="W722" s="28"/>
      <c r="AF722" s="30"/>
    </row>
    <row r="723">
      <c r="W723" s="28"/>
      <c r="AF723" s="30"/>
    </row>
    <row r="724">
      <c r="W724" s="28"/>
      <c r="AF724" s="30"/>
    </row>
    <row r="725">
      <c r="W725" s="28"/>
      <c r="AF725" s="30"/>
    </row>
    <row r="726">
      <c r="W726" s="28"/>
      <c r="AF726" s="30"/>
    </row>
    <row r="727">
      <c r="W727" s="28"/>
      <c r="AF727" s="30"/>
    </row>
    <row r="728">
      <c r="W728" s="28"/>
      <c r="AF728" s="30"/>
    </row>
    <row r="729">
      <c r="W729" s="28"/>
      <c r="AF729" s="30"/>
    </row>
    <row r="730">
      <c r="W730" s="28"/>
      <c r="AF730" s="30"/>
    </row>
    <row r="731">
      <c r="W731" s="28"/>
      <c r="AF731" s="30"/>
    </row>
    <row r="732">
      <c r="W732" s="28"/>
      <c r="AF732" s="30"/>
    </row>
    <row r="733">
      <c r="W733" s="28"/>
      <c r="AF733" s="30"/>
    </row>
    <row r="734">
      <c r="W734" s="28"/>
      <c r="AF734" s="30"/>
    </row>
    <row r="735">
      <c r="W735" s="28"/>
      <c r="AF735" s="30"/>
    </row>
    <row r="736">
      <c r="W736" s="28"/>
      <c r="AF736" s="30"/>
    </row>
    <row r="737">
      <c r="W737" s="28"/>
      <c r="AF737" s="30"/>
    </row>
    <row r="738">
      <c r="W738" s="28"/>
      <c r="AF738" s="30"/>
    </row>
    <row r="739">
      <c r="W739" s="28"/>
      <c r="AF739" s="30"/>
    </row>
    <row r="740">
      <c r="W740" s="28"/>
      <c r="AF740" s="30"/>
    </row>
    <row r="741">
      <c r="W741" s="28"/>
      <c r="AF741" s="30"/>
    </row>
    <row r="742">
      <c r="W742" s="28"/>
      <c r="AF742" s="30"/>
    </row>
    <row r="743">
      <c r="W743" s="28"/>
      <c r="AF743" s="30"/>
    </row>
    <row r="744">
      <c r="W744" s="28"/>
      <c r="AF744" s="30"/>
    </row>
    <row r="745">
      <c r="W745" s="28"/>
      <c r="AF745" s="30"/>
    </row>
    <row r="746">
      <c r="W746" s="28"/>
      <c r="AF746" s="30"/>
    </row>
    <row r="747">
      <c r="W747" s="28"/>
      <c r="AF747" s="30"/>
    </row>
    <row r="748">
      <c r="W748" s="28"/>
      <c r="AF748" s="30"/>
    </row>
    <row r="749">
      <c r="W749" s="28"/>
      <c r="AF749" s="30"/>
    </row>
    <row r="750">
      <c r="W750" s="28"/>
      <c r="AF750" s="30"/>
    </row>
    <row r="751">
      <c r="W751" s="28"/>
      <c r="AF751" s="30"/>
    </row>
    <row r="752">
      <c r="W752" s="28"/>
      <c r="AF752" s="30"/>
    </row>
    <row r="753">
      <c r="W753" s="28"/>
      <c r="AF753" s="30"/>
    </row>
    <row r="754">
      <c r="W754" s="28"/>
      <c r="AF754" s="30"/>
    </row>
    <row r="755">
      <c r="W755" s="28"/>
      <c r="AF755" s="30"/>
    </row>
    <row r="756">
      <c r="W756" s="28"/>
      <c r="AF756" s="30"/>
    </row>
    <row r="757">
      <c r="W757" s="28"/>
      <c r="AF757" s="30"/>
    </row>
    <row r="758">
      <c r="W758" s="28"/>
      <c r="AF758" s="30"/>
    </row>
    <row r="759">
      <c r="W759" s="28"/>
      <c r="AF759" s="30"/>
    </row>
    <row r="760">
      <c r="W760" s="28"/>
      <c r="AF760" s="30"/>
    </row>
    <row r="761">
      <c r="W761" s="28"/>
      <c r="AF761" s="30"/>
    </row>
    <row r="762">
      <c r="W762" s="28"/>
      <c r="AF762" s="30"/>
    </row>
    <row r="763">
      <c r="W763" s="28"/>
      <c r="AF763" s="30"/>
    </row>
    <row r="764">
      <c r="W764" s="28"/>
      <c r="AF764" s="30"/>
    </row>
    <row r="765">
      <c r="W765" s="28"/>
      <c r="AF765" s="30"/>
    </row>
    <row r="766">
      <c r="W766" s="28"/>
      <c r="AF766" s="30"/>
    </row>
    <row r="767">
      <c r="W767" s="28"/>
      <c r="AF767" s="30"/>
    </row>
    <row r="768">
      <c r="W768" s="28"/>
      <c r="AF768" s="30"/>
    </row>
    <row r="769">
      <c r="W769" s="28"/>
      <c r="AF769" s="30"/>
    </row>
    <row r="770">
      <c r="W770" s="28"/>
      <c r="AF770" s="30"/>
    </row>
    <row r="771">
      <c r="W771" s="28"/>
      <c r="AF771" s="30"/>
    </row>
    <row r="772">
      <c r="W772" s="28"/>
      <c r="AF772" s="30"/>
    </row>
    <row r="773">
      <c r="W773" s="28"/>
      <c r="AF773" s="30"/>
    </row>
    <row r="774">
      <c r="W774" s="28"/>
      <c r="AF774" s="30"/>
    </row>
    <row r="775">
      <c r="W775" s="28"/>
      <c r="AF775" s="30"/>
    </row>
    <row r="776">
      <c r="W776" s="28"/>
      <c r="AF776" s="30"/>
    </row>
    <row r="777">
      <c r="W777" s="28"/>
      <c r="AF777" s="30"/>
    </row>
    <row r="778">
      <c r="W778" s="28"/>
      <c r="AF778" s="30"/>
    </row>
    <row r="779">
      <c r="W779" s="28"/>
      <c r="AF779" s="30"/>
    </row>
    <row r="780">
      <c r="W780" s="28"/>
      <c r="AF780" s="30"/>
    </row>
    <row r="781">
      <c r="W781" s="28"/>
      <c r="AF781" s="30"/>
    </row>
    <row r="782">
      <c r="W782" s="28"/>
      <c r="AF782" s="30"/>
    </row>
    <row r="783">
      <c r="W783" s="28"/>
      <c r="AF783" s="30"/>
    </row>
    <row r="784">
      <c r="W784" s="28"/>
      <c r="AF784" s="30"/>
    </row>
    <row r="785">
      <c r="W785" s="28"/>
      <c r="AF785" s="30"/>
    </row>
    <row r="786">
      <c r="W786" s="28"/>
      <c r="AF786" s="30"/>
    </row>
    <row r="787">
      <c r="W787" s="28"/>
      <c r="AF787" s="30"/>
    </row>
    <row r="788">
      <c r="W788" s="28"/>
      <c r="AF788" s="30"/>
    </row>
    <row r="789">
      <c r="W789" s="28"/>
      <c r="AF789" s="30"/>
    </row>
    <row r="790">
      <c r="W790" s="28"/>
      <c r="AF790" s="30"/>
    </row>
    <row r="791">
      <c r="W791" s="28"/>
      <c r="AF791" s="30"/>
    </row>
    <row r="792">
      <c r="W792" s="28"/>
      <c r="AF792" s="30"/>
    </row>
    <row r="793">
      <c r="W793" s="28"/>
      <c r="AF793" s="30"/>
    </row>
    <row r="794">
      <c r="W794" s="28"/>
      <c r="AF794" s="30"/>
    </row>
    <row r="795">
      <c r="W795" s="28"/>
      <c r="AF795" s="30"/>
    </row>
    <row r="796">
      <c r="W796" s="28"/>
      <c r="AF796" s="30"/>
    </row>
    <row r="797">
      <c r="W797" s="28"/>
      <c r="AF797" s="30"/>
    </row>
    <row r="798">
      <c r="W798" s="28"/>
      <c r="AF798" s="30"/>
    </row>
    <row r="799">
      <c r="W799" s="28"/>
      <c r="AF799" s="30"/>
    </row>
    <row r="800">
      <c r="W800" s="28"/>
      <c r="AF800" s="30"/>
    </row>
    <row r="801">
      <c r="W801" s="28"/>
      <c r="AF801" s="30"/>
    </row>
    <row r="802">
      <c r="W802" s="28"/>
      <c r="AF802" s="30"/>
    </row>
    <row r="803">
      <c r="W803" s="28"/>
      <c r="AF803" s="30"/>
    </row>
    <row r="804">
      <c r="W804" s="28"/>
      <c r="AF804" s="30"/>
    </row>
    <row r="805">
      <c r="W805" s="28"/>
      <c r="AF805" s="30"/>
    </row>
    <row r="806">
      <c r="W806" s="28"/>
      <c r="AF806" s="30"/>
    </row>
    <row r="807">
      <c r="W807" s="28"/>
      <c r="AF807" s="30"/>
    </row>
    <row r="808">
      <c r="W808" s="28"/>
      <c r="AF808" s="30"/>
    </row>
    <row r="809">
      <c r="W809" s="28"/>
      <c r="AF809" s="30"/>
    </row>
    <row r="810">
      <c r="W810" s="28"/>
      <c r="AF810" s="30"/>
    </row>
    <row r="811">
      <c r="W811" s="28"/>
      <c r="AF811" s="30"/>
    </row>
    <row r="812">
      <c r="W812" s="28"/>
      <c r="AF812" s="30"/>
    </row>
    <row r="813">
      <c r="W813" s="28"/>
      <c r="AF813" s="30"/>
    </row>
    <row r="814">
      <c r="W814" s="28"/>
      <c r="AF814" s="30"/>
    </row>
    <row r="815">
      <c r="W815" s="28"/>
      <c r="AF815" s="30"/>
    </row>
    <row r="816">
      <c r="W816" s="28"/>
      <c r="AF816" s="30"/>
    </row>
    <row r="817">
      <c r="W817" s="28"/>
      <c r="AF817" s="30"/>
    </row>
    <row r="818">
      <c r="W818" s="28"/>
      <c r="AF818" s="30"/>
    </row>
    <row r="819">
      <c r="W819" s="28"/>
      <c r="AF819" s="30"/>
    </row>
    <row r="820">
      <c r="W820" s="28"/>
      <c r="AF820" s="30"/>
    </row>
    <row r="821">
      <c r="W821" s="28"/>
      <c r="AF821" s="30"/>
    </row>
    <row r="822">
      <c r="W822" s="28"/>
      <c r="AF822" s="30"/>
    </row>
    <row r="823">
      <c r="W823" s="28"/>
      <c r="AF823" s="30"/>
    </row>
    <row r="824">
      <c r="W824" s="28"/>
      <c r="AF824" s="30"/>
    </row>
    <row r="825">
      <c r="W825" s="28"/>
      <c r="AF825" s="30"/>
    </row>
    <row r="826">
      <c r="W826" s="28"/>
      <c r="AF826" s="30"/>
    </row>
    <row r="827">
      <c r="W827" s="28"/>
      <c r="AF827" s="30"/>
    </row>
    <row r="828">
      <c r="W828" s="28"/>
      <c r="AF828" s="30"/>
    </row>
    <row r="829">
      <c r="W829" s="28"/>
      <c r="AF829" s="30"/>
    </row>
    <row r="830">
      <c r="W830" s="28"/>
      <c r="AF830" s="30"/>
    </row>
    <row r="831">
      <c r="W831" s="28"/>
      <c r="AF831" s="30"/>
    </row>
    <row r="832">
      <c r="W832" s="28"/>
      <c r="AF832" s="30"/>
    </row>
    <row r="833">
      <c r="W833" s="28"/>
      <c r="AF833" s="30"/>
    </row>
    <row r="834">
      <c r="W834" s="28"/>
      <c r="AF834" s="30"/>
    </row>
    <row r="835">
      <c r="W835" s="28"/>
      <c r="AF835" s="30"/>
    </row>
    <row r="836">
      <c r="W836" s="28"/>
      <c r="AF836" s="30"/>
    </row>
    <row r="837">
      <c r="W837" s="28"/>
      <c r="AF837" s="30"/>
    </row>
    <row r="838">
      <c r="W838" s="28"/>
      <c r="AF838" s="30"/>
    </row>
    <row r="839">
      <c r="W839" s="28"/>
      <c r="AF839" s="30"/>
    </row>
    <row r="840">
      <c r="W840" s="28"/>
      <c r="AF840" s="30"/>
    </row>
    <row r="841">
      <c r="W841" s="28"/>
      <c r="AF841" s="30"/>
    </row>
    <row r="842">
      <c r="W842" s="28"/>
      <c r="AF842" s="30"/>
    </row>
    <row r="843">
      <c r="W843" s="28"/>
      <c r="AF843" s="30"/>
    </row>
    <row r="844">
      <c r="W844" s="28"/>
      <c r="AF844" s="30"/>
    </row>
    <row r="845">
      <c r="W845" s="28"/>
      <c r="AF845" s="30"/>
    </row>
    <row r="846">
      <c r="W846" s="28"/>
      <c r="AF846" s="30"/>
    </row>
    <row r="847">
      <c r="W847" s="28"/>
      <c r="AF847" s="30"/>
    </row>
    <row r="848">
      <c r="W848" s="28"/>
      <c r="AF848" s="30"/>
    </row>
    <row r="849">
      <c r="W849" s="28"/>
      <c r="AF849" s="30"/>
    </row>
    <row r="850">
      <c r="W850" s="28"/>
      <c r="AF850" s="30"/>
    </row>
    <row r="851">
      <c r="W851" s="28"/>
      <c r="AF851" s="30"/>
    </row>
    <row r="852">
      <c r="W852" s="28"/>
      <c r="AF852" s="30"/>
    </row>
    <row r="853">
      <c r="W853" s="28"/>
      <c r="AF853" s="30"/>
    </row>
    <row r="854">
      <c r="W854" s="28"/>
      <c r="AF854" s="30"/>
    </row>
    <row r="855">
      <c r="W855" s="28"/>
      <c r="AF855" s="30"/>
    </row>
    <row r="856">
      <c r="W856" s="28"/>
      <c r="AF856" s="30"/>
    </row>
    <row r="857">
      <c r="W857" s="28"/>
      <c r="AF857" s="30"/>
    </row>
    <row r="858">
      <c r="W858" s="28"/>
      <c r="AF858" s="30"/>
    </row>
    <row r="859">
      <c r="W859" s="28"/>
      <c r="AF859" s="30"/>
    </row>
    <row r="860">
      <c r="W860" s="28"/>
      <c r="AF860" s="30"/>
    </row>
    <row r="861">
      <c r="W861" s="28"/>
      <c r="AF861" s="30"/>
    </row>
    <row r="862">
      <c r="W862" s="28"/>
      <c r="AF862" s="30"/>
    </row>
    <row r="863">
      <c r="W863" s="28"/>
      <c r="AF863" s="30"/>
    </row>
    <row r="864">
      <c r="W864" s="28"/>
      <c r="AF864" s="30"/>
    </row>
    <row r="865">
      <c r="W865" s="28"/>
      <c r="AF865" s="30"/>
    </row>
    <row r="866">
      <c r="W866" s="28"/>
      <c r="AF866" s="30"/>
    </row>
    <row r="867">
      <c r="W867" s="28"/>
      <c r="AF867" s="30"/>
    </row>
    <row r="868">
      <c r="W868" s="28"/>
      <c r="AF868" s="30"/>
    </row>
    <row r="869">
      <c r="W869" s="28"/>
      <c r="AF869" s="30"/>
    </row>
    <row r="870">
      <c r="W870" s="28"/>
      <c r="AF870" s="30"/>
    </row>
    <row r="871">
      <c r="W871" s="28"/>
      <c r="AF871" s="30"/>
    </row>
    <row r="872">
      <c r="W872" s="28"/>
      <c r="AF872" s="30"/>
    </row>
    <row r="873">
      <c r="W873" s="28"/>
      <c r="AF873" s="30"/>
    </row>
    <row r="874">
      <c r="W874" s="28"/>
      <c r="AF874" s="30"/>
    </row>
    <row r="875">
      <c r="W875" s="28"/>
      <c r="AF875" s="30"/>
    </row>
    <row r="876">
      <c r="W876" s="28"/>
      <c r="AF876" s="30"/>
    </row>
    <row r="877">
      <c r="W877" s="28"/>
      <c r="AF877" s="30"/>
    </row>
    <row r="878">
      <c r="W878" s="28"/>
      <c r="AF878" s="30"/>
    </row>
    <row r="879">
      <c r="W879" s="28"/>
      <c r="AF879" s="30"/>
    </row>
    <row r="880">
      <c r="W880" s="28"/>
      <c r="AF880" s="30"/>
    </row>
    <row r="881">
      <c r="W881" s="28"/>
      <c r="AF881" s="30"/>
    </row>
    <row r="882">
      <c r="W882" s="28"/>
      <c r="AF882" s="30"/>
    </row>
    <row r="883">
      <c r="W883" s="28"/>
      <c r="AF883" s="30"/>
    </row>
    <row r="884">
      <c r="W884" s="28"/>
      <c r="AF884" s="30"/>
    </row>
    <row r="885">
      <c r="W885" s="28"/>
      <c r="AF885" s="30"/>
    </row>
    <row r="886">
      <c r="W886" s="28"/>
      <c r="AF886" s="30"/>
    </row>
    <row r="887">
      <c r="W887" s="28"/>
      <c r="AF887" s="30"/>
    </row>
    <row r="888">
      <c r="W888" s="28"/>
      <c r="AF888" s="30"/>
    </row>
    <row r="889">
      <c r="W889" s="28"/>
      <c r="AF889" s="30"/>
    </row>
    <row r="890">
      <c r="W890" s="28"/>
      <c r="AF890" s="30"/>
    </row>
    <row r="891">
      <c r="W891" s="28"/>
      <c r="AF891" s="30"/>
    </row>
    <row r="892">
      <c r="W892" s="28"/>
      <c r="AF892" s="30"/>
    </row>
    <row r="893">
      <c r="W893" s="28"/>
      <c r="AF893" s="30"/>
    </row>
    <row r="894">
      <c r="W894" s="28"/>
      <c r="AF894" s="30"/>
    </row>
    <row r="895">
      <c r="W895" s="28"/>
      <c r="AF895" s="30"/>
    </row>
    <row r="896">
      <c r="W896" s="28"/>
      <c r="AF896" s="30"/>
    </row>
    <row r="897">
      <c r="W897" s="28"/>
      <c r="AF897" s="30"/>
    </row>
    <row r="898">
      <c r="W898" s="28"/>
      <c r="AF898" s="30"/>
    </row>
    <row r="899">
      <c r="W899" s="28"/>
      <c r="AF899" s="30"/>
    </row>
    <row r="900">
      <c r="W900" s="28"/>
      <c r="AF900" s="30"/>
    </row>
    <row r="901">
      <c r="W901" s="28"/>
      <c r="AF901" s="30"/>
    </row>
    <row r="902">
      <c r="W902" s="28"/>
      <c r="AF902" s="30"/>
    </row>
    <row r="903">
      <c r="W903" s="28"/>
      <c r="AF903" s="30"/>
    </row>
    <row r="904">
      <c r="W904" s="28"/>
      <c r="AF904" s="30"/>
    </row>
    <row r="905">
      <c r="W905" s="28"/>
      <c r="AF905" s="30"/>
    </row>
    <row r="906">
      <c r="W906" s="28"/>
      <c r="AF906" s="30"/>
    </row>
    <row r="907">
      <c r="W907" s="28"/>
      <c r="AF907" s="30"/>
    </row>
    <row r="908">
      <c r="W908" s="28"/>
      <c r="AF908" s="30"/>
    </row>
    <row r="909">
      <c r="W909" s="28"/>
      <c r="AF909" s="30"/>
    </row>
    <row r="910">
      <c r="W910" s="28"/>
      <c r="AF910" s="30"/>
    </row>
    <row r="911">
      <c r="W911" s="28"/>
      <c r="AF911" s="30"/>
    </row>
    <row r="912">
      <c r="W912" s="28"/>
      <c r="AF912" s="30"/>
    </row>
    <row r="913">
      <c r="W913" s="28"/>
      <c r="AF913" s="30"/>
    </row>
    <row r="914">
      <c r="W914" s="28"/>
      <c r="AF914" s="30"/>
    </row>
    <row r="915">
      <c r="W915" s="28"/>
      <c r="AF915" s="30"/>
    </row>
    <row r="916">
      <c r="W916" s="28"/>
      <c r="AF916" s="30"/>
    </row>
    <row r="917">
      <c r="W917" s="28"/>
      <c r="AF917" s="30"/>
    </row>
    <row r="918">
      <c r="W918" s="28"/>
      <c r="AF918" s="30"/>
    </row>
    <row r="919">
      <c r="W919" s="28"/>
      <c r="AF919" s="30"/>
    </row>
    <row r="920">
      <c r="W920" s="28"/>
      <c r="AF920" s="30"/>
    </row>
    <row r="921">
      <c r="W921" s="28"/>
      <c r="AF921" s="30"/>
    </row>
    <row r="922">
      <c r="W922" s="28"/>
      <c r="AF922" s="30"/>
    </row>
    <row r="923">
      <c r="W923" s="28"/>
      <c r="AF923" s="30"/>
    </row>
    <row r="924">
      <c r="W924" s="28"/>
      <c r="AF924" s="30"/>
    </row>
    <row r="925">
      <c r="W925" s="28"/>
      <c r="AF925" s="30"/>
    </row>
    <row r="926">
      <c r="W926" s="28"/>
      <c r="AF926" s="30"/>
    </row>
    <row r="927">
      <c r="W927" s="28"/>
      <c r="AF927" s="30"/>
    </row>
    <row r="928">
      <c r="W928" s="28"/>
      <c r="AF928" s="30"/>
    </row>
    <row r="929">
      <c r="W929" s="28"/>
      <c r="AF929" s="30"/>
    </row>
    <row r="930">
      <c r="W930" s="28"/>
      <c r="AF930" s="30"/>
    </row>
    <row r="931">
      <c r="W931" s="28"/>
      <c r="AF931" s="30"/>
    </row>
    <row r="932">
      <c r="W932" s="28"/>
      <c r="AF932" s="30"/>
    </row>
    <row r="933">
      <c r="W933" s="28"/>
      <c r="AF933" s="30"/>
    </row>
    <row r="934">
      <c r="W934" s="28"/>
      <c r="AF934" s="30"/>
    </row>
    <row r="935">
      <c r="W935" s="28"/>
      <c r="AF935" s="30"/>
    </row>
    <row r="936">
      <c r="W936" s="28"/>
      <c r="AF936" s="30"/>
    </row>
    <row r="937">
      <c r="W937" s="28"/>
      <c r="AF937" s="30"/>
    </row>
    <row r="938">
      <c r="W938" s="28"/>
      <c r="AF938" s="30"/>
    </row>
    <row r="939">
      <c r="W939" s="28"/>
      <c r="AF939" s="30"/>
    </row>
    <row r="940">
      <c r="W940" s="28"/>
      <c r="AF940" s="30"/>
    </row>
    <row r="941">
      <c r="W941" s="28"/>
      <c r="AF941" s="30"/>
    </row>
    <row r="942">
      <c r="W942" s="28"/>
      <c r="AF942" s="30"/>
    </row>
    <row r="943">
      <c r="W943" s="28"/>
      <c r="AF943" s="30"/>
    </row>
    <row r="944">
      <c r="W944" s="28"/>
      <c r="AF944" s="30"/>
    </row>
    <row r="945">
      <c r="W945" s="28"/>
      <c r="AF945" s="30"/>
    </row>
    <row r="946">
      <c r="W946" s="28"/>
      <c r="AF946" s="30"/>
    </row>
    <row r="947">
      <c r="W947" s="28"/>
      <c r="AF947" s="30"/>
    </row>
    <row r="948">
      <c r="W948" s="28"/>
      <c r="AF948" s="30"/>
    </row>
    <row r="949">
      <c r="W949" s="28"/>
      <c r="AF949" s="30"/>
    </row>
    <row r="950">
      <c r="W950" s="28"/>
      <c r="AF950" s="30"/>
    </row>
    <row r="951">
      <c r="W951" s="28"/>
      <c r="AF951" s="30"/>
    </row>
    <row r="952">
      <c r="W952" s="28"/>
      <c r="AF952" s="30"/>
    </row>
    <row r="953">
      <c r="W953" s="28"/>
      <c r="AF953" s="30"/>
    </row>
    <row r="954">
      <c r="W954" s="28"/>
      <c r="AF954" s="30"/>
    </row>
    <row r="955">
      <c r="W955" s="28"/>
      <c r="AF955" s="30"/>
    </row>
    <row r="956">
      <c r="W956" s="28"/>
      <c r="AF956" s="30"/>
    </row>
    <row r="957">
      <c r="W957" s="28"/>
      <c r="AF957" s="30"/>
    </row>
    <row r="958">
      <c r="W958" s="28"/>
      <c r="AF958" s="30"/>
    </row>
    <row r="959">
      <c r="W959" s="28"/>
      <c r="AF959" s="30"/>
    </row>
    <row r="960">
      <c r="W960" s="28"/>
      <c r="AF960" s="30"/>
    </row>
    <row r="961">
      <c r="W961" s="28"/>
      <c r="AF961" s="30"/>
    </row>
    <row r="962">
      <c r="W962" s="28"/>
      <c r="AF962" s="30"/>
    </row>
    <row r="963">
      <c r="W963" s="28"/>
      <c r="AF963" s="30"/>
    </row>
    <row r="964">
      <c r="W964" s="28"/>
      <c r="AF964" s="30"/>
    </row>
    <row r="965">
      <c r="W965" s="28"/>
      <c r="AF965" s="30"/>
    </row>
    <row r="966">
      <c r="W966" s="28"/>
      <c r="AF966" s="30"/>
    </row>
    <row r="967">
      <c r="W967" s="28"/>
      <c r="AF967" s="30"/>
    </row>
    <row r="968">
      <c r="W968" s="28"/>
      <c r="AF968" s="30"/>
    </row>
    <row r="969">
      <c r="W969" s="28"/>
      <c r="AF969" s="30"/>
    </row>
    <row r="970">
      <c r="W970" s="28"/>
      <c r="AF970" s="30"/>
    </row>
    <row r="971">
      <c r="W971" s="28"/>
      <c r="AF971" s="30"/>
    </row>
    <row r="972">
      <c r="W972" s="28"/>
      <c r="AF972" s="30"/>
    </row>
    <row r="973">
      <c r="W973" s="28"/>
      <c r="AF973" s="30"/>
    </row>
    <row r="974">
      <c r="W974" s="28"/>
      <c r="AF974" s="30"/>
    </row>
    <row r="975">
      <c r="W975" s="28"/>
      <c r="AF975" s="30"/>
    </row>
    <row r="976">
      <c r="W976" s="28"/>
      <c r="AF976" s="30"/>
    </row>
    <row r="977">
      <c r="W977" s="28"/>
      <c r="AF977" s="30"/>
    </row>
    <row r="978">
      <c r="W978" s="28"/>
      <c r="AF978" s="30"/>
    </row>
    <row r="979">
      <c r="W979" s="28"/>
      <c r="AF979" s="30"/>
    </row>
    <row r="980">
      <c r="W980" s="28"/>
      <c r="AF980" s="30"/>
    </row>
    <row r="981">
      <c r="W981" s="28"/>
      <c r="AF981" s="30"/>
    </row>
    <row r="982">
      <c r="W982" s="28"/>
      <c r="AF982" s="30"/>
    </row>
    <row r="983">
      <c r="W983" s="28"/>
      <c r="AF983" s="30"/>
    </row>
    <row r="984">
      <c r="W984" s="28"/>
      <c r="AF984" s="30"/>
    </row>
    <row r="985">
      <c r="W985" s="28"/>
      <c r="AF985" s="30"/>
    </row>
    <row r="986">
      <c r="W986" s="28"/>
      <c r="AF986" s="30"/>
    </row>
    <row r="987">
      <c r="W987" s="28"/>
      <c r="AF987" s="30"/>
    </row>
    <row r="988">
      <c r="W988" s="28"/>
      <c r="AF988" s="30"/>
    </row>
    <row r="989">
      <c r="W989" s="28"/>
      <c r="AF989" s="30"/>
    </row>
    <row r="990">
      <c r="W990" s="28"/>
      <c r="AF990" s="30"/>
    </row>
    <row r="991">
      <c r="W991" s="28"/>
      <c r="AF991" s="30"/>
    </row>
    <row r="992">
      <c r="W992" s="28"/>
      <c r="AF992" s="30"/>
    </row>
    <row r="993">
      <c r="W993" s="28"/>
      <c r="AF993" s="30"/>
    </row>
    <row r="994">
      <c r="W994" s="28"/>
      <c r="AF994" s="30"/>
    </row>
    <row r="995">
      <c r="W995" s="28"/>
      <c r="AF995" s="30"/>
    </row>
    <row r="996">
      <c r="W996" s="28"/>
      <c r="AF996" s="30"/>
    </row>
    <row r="997">
      <c r="W997" s="28"/>
      <c r="AF997" s="30"/>
    </row>
    <row r="998">
      <c r="W998" s="28"/>
      <c r="AF998" s="30"/>
    </row>
    <row r="999">
      <c r="W999" s="28"/>
      <c r="AF999" s="30"/>
    </row>
    <row r="1000">
      <c r="W1000" s="28"/>
      <c r="AF100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0"/>
    <col customWidth="1" min="3" max="3" width="25.13"/>
    <col customWidth="1" min="4" max="4" width="10.0"/>
    <col customWidth="1" min="5" max="5" width="16.75"/>
    <col customWidth="1" min="6" max="6" width="18.75"/>
    <col customWidth="1" min="7" max="7" width="11.5"/>
    <col customWidth="1" min="9" max="9" width="17.38"/>
    <col customWidth="1" min="10" max="10" width="26.38"/>
    <col customWidth="1" min="12" max="12" width="25.75"/>
    <col customWidth="1" min="13" max="13" width="26.5"/>
    <col customWidth="1" min="14" max="14" width="29.5"/>
    <col customWidth="1" min="15" max="15" width="23.25"/>
    <col customWidth="1" min="17" max="17" width="19.25"/>
    <col customWidth="1" min="18" max="18" width="18.38"/>
    <col customWidth="1" min="19" max="19" width="17.0"/>
    <col customWidth="1" min="20" max="20" width="25.75"/>
  </cols>
  <sheetData>
    <row r="1">
      <c r="A1" s="31" t="s">
        <v>0</v>
      </c>
      <c r="B1" s="31" t="s">
        <v>626</v>
      </c>
      <c r="C1" s="31" t="s">
        <v>691</v>
      </c>
      <c r="D1" s="31" t="s">
        <v>614</v>
      </c>
      <c r="E1" s="31" t="s">
        <v>647</v>
      </c>
      <c r="F1" s="31" t="s">
        <v>692</v>
      </c>
      <c r="G1" s="31" t="s">
        <v>693</v>
      </c>
      <c r="H1" s="31" t="s">
        <v>694</v>
      </c>
      <c r="I1" s="31" t="s">
        <v>695</v>
      </c>
      <c r="J1" s="31" t="s">
        <v>696</v>
      </c>
      <c r="K1" s="31" t="s">
        <v>697</v>
      </c>
      <c r="L1" s="31" t="s">
        <v>698</v>
      </c>
      <c r="M1" s="31" t="s">
        <v>699</v>
      </c>
      <c r="N1" s="31" t="s">
        <v>700</v>
      </c>
      <c r="O1" s="31" t="s">
        <v>701</v>
      </c>
      <c r="P1" s="31" t="s">
        <v>702</v>
      </c>
      <c r="Q1" s="31" t="s">
        <v>703</v>
      </c>
      <c r="R1" s="31" t="s">
        <v>704</v>
      </c>
      <c r="S1" s="31" t="s">
        <v>705</v>
      </c>
      <c r="T1" s="31" t="s">
        <v>706</v>
      </c>
      <c r="U1" s="31"/>
      <c r="V1" s="32"/>
      <c r="W1" s="32"/>
      <c r="X1" s="32"/>
      <c r="Y1" s="32"/>
      <c r="Z1" s="32"/>
      <c r="AA1" s="32"/>
    </row>
    <row r="2" ht="156.0" customHeight="1">
      <c r="A2" s="33" t="s">
        <v>707</v>
      </c>
      <c r="B2" s="33" t="s">
        <v>708</v>
      </c>
      <c r="C2" s="33" t="s">
        <v>709</v>
      </c>
      <c r="D2" s="33">
        <v>27.0</v>
      </c>
      <c r="E2" s="33" t="s">
        <v>44</v>
      </c>
      <c r="F2" s="33" t="s">
        <v>710</v>
      </c>
      <c r="G2" s="33">
        <v>4.0</v>
      </c>
      <c r="H2" s="33" t="s">
        <v>711</v>
      </c>
      <c r="I2" s="33" t="s">
        <v>646</v>
      </c>
      <c r="J2" s="33" t="s">
        <v>712</v>
      </c>
      <c r="K2" s="34">
        <v>0.86</v>
      </c>
      <c r="L2" s="33" t="s">
        <v>659</v>
      </c>
      <c r="M2" s="35" t="s">
        <v>713</v>
      </c>
      <c r="N2" s="33" t="s">
        <v>714</v>
      </c>
      <c r="O2" s="33">
        <v>142.0</v>
      </c>
      <c r="P2" s="36">
        <v>46207.0</v>
      </c>
      <c r="Q2" s="37" t="s">
        <v>715</v>
      </c>
      <c r="R2" s="37" t="s">
        <v>716</v>
      </c>
      <c r="S2" s="37" t="s">
        <v>717</v>
      </c>
      <c r="T2" s="33" t="s">
        <v>718</v>
      </c>
      <c r="U2" s="38"/>
      <c r="V2" s="39"/>
      <c r="W2" s="39"/>
      <c r="X2" s="39"/>
      <c r="Y2" s="39"/>
      <c r="Z2" s="39"/>
      <c r="AA2" s="39"/>
    </row>
    <row r="3">
      <c r="A3" s="40" t="s">
        <v>719</v>
      </c>
      <c r="B3" s="40" t="s">
        <v>708</v>
      </c>
      <c r="C3" s="40" t="s">
        <v>720</v>
      </c>
      <c r="D3" s="40">
        <v>30.0</v>
      </c>
      <c r="E3" s="40" t="s">
        <v>147</v>
      </c>
      <c r="F3" s="40" t="s">
        <v>710</v>
      </c>
      <c r="G3" s="40">
        <v>6.0</v>
      </c>
      <c r="H3" s="40" t="s">
        <v>721</v>
      </c>
      <c r="I3" s="40" t="s">
        <v>659</v>
      </c>
      <c r="J3" s="40" t="s">
        <v>722</v>
      </c>
      <c r="K3" s="41">
        <v>0.92</v>
      </c>
      <c r="L3" s="40" t="s">
        <v>659</v>
      </c>
      <c r="M3" s="40" t="s">
        <v>723</v>
      </c>
      <c r="N3" s="40" t="s">
        <v>724</v>
      </c>
      <c r="O3" s="40">
        <v>311.0</v>
      </c>
      <c r="P3" s="42">
        <v>46269.0</v>
      </c>
      <c r="Q3" s="43" t="s">
        <v>725</v>
      </c>
      <c r="R3" s="43" t="s">
        <v>726</v>
      </c>
      <c r="S3" s="43" t="s">
        <v>727</v>
      </c>
      <c r="T3" s="40" t="s">
        <v>718</v>
      </c>
      <c r="U3" s="44"/>
    </row>
    <row r="4">
      <c r="A4" s="33" t="s">
        <v>728</v>
      </c>
      <c r="B4" s="33" t="s">
        <v>708</v>
      </c>
      <c r="C4" s="33" t="s">
        <v>729</v>
      </c>
      <c r="D4" s="33">
        <v>23.0</v>
      </c>
      <c r="E4" s="33" t="s">
        <v>44</v>
      </c>
      <c r="F4" s="33" t="s">
        <v>730</v>
      </c>
      <c r="G4" s="33">
        <v>2.0</v>
      </c>
      <c r="H4" s="33" t="s">
        <v>731</v>
      </c>
      <c r="I4" s="33" t="s">
        <v>732</v>
      </c>
      <c r="J4" s="33" t="s">
        <v>733</v>
      </c>
      <c r="K4" s="34">
        <v>0.68</v>
      </c>
      <c r="L4" s="33" t="s">
        <v>646</v>
      </c>
      <c r="M4" s="35" t="s">
        <v>734</v>
      </c>
      <c r="N4" s="33" t="s">
        <v>735</v>
      </c>
      <c r="O4" s="33">
        <v>34.0</v>
      </c>
      <c r="P4" s="36">
        <v>46057.0</v>
      </c>
      <c r="Q4" s="37" t="s">
        <v>736</v>
      </c>
      <c r="R4" s="37" t="s">
        <v>737</v>
      </c>
      <c r="S4" s="37" t="s">
        <v>738</v>
      </c>
      <c r="T4" s="33" t="s">
        <v>739</v>
      </c>
      <c r="U4" s="38"/>
      <c r="V4" s="39"/>
      <c r="W4" s="39"/>
      <c r="X4" s="39"/>
      <c r="Y4" s="39"/>
      <c r="Z4" s="39"/>
      <c r="AA4" s="39"/>
    </row>
    <row r="5">
      <c r="A5" s="40" t="s">
        <v>740</v>
      </c>
      <c r="B5" s="40" t="s">
        <v>708</v>
      </c>
      <c r="C5" s="40" t="s">
        <v>741</v>
      </c>
      <c r="D5" s="40">
        <v>29.0</v>
      </c>
      <c r="E5" s="40" t="s">
        <v>108</v>
      </c>
      <c r="F5" s="40" t="s">
        <v>730</v>
      </c>
      <c r="G5" s="40">
        <v>5.0</v>
      </c>
      <c r="H5" s="40" t="s">
        <v>742</v>
      </c>
      <c r="I5" s="40" t="s">
        <v>659</v>
      </c>
      <c r="J5" s="40" t="s">
        <v>743</v>
      </c>
      <c r="K5" s="41">
        <v>0.9</v>
      </c>
      <c r="L5" s="40" t="s">
        <v>659</v>
      </c>
      <c r="M5" s="45" t="s">
        <v>744</v>
      </c>
      <c r="N5" s="40" t="s">
        <v>745</v>
      </c>
      <c r="O5" s="40">
        <v>210.0</v>
      </c>
      <c r="P5" s="42">
        <v>46238.0</v>
      </c>
      <c r="Q5" s="43" t="s">
        <v>746</v>
      </c>
      <c r="R5" s="43" t="s">
        <v>747</v>
      </c>
      <c r="S5" s="43" t="s">
        <v>748</v>
      </c>
      <c r="T5" s="40" t="s">
        <v>718</v>
      </c>
      <c r="U5" s="44"/>
    </row>
    <row r="6">
      <c r="A6" s="40" t="s">
        <v>749</v>
      </c>
      <c r="B6" s="40" t="s">
        <v>708</v>
      </c>
      <c r="C6" s="40" t="s">
        <v>750</v>
      </c>
      <c r="D6" s="40">
        <v>21.0</v>
      </c>
      <c r="E6" s="40" t="s">
        <v>44</v>
      </c>
      <c r="F6" s="40" t="s">
        <v>730</v>
      </c>
      <c r="G6" s="40">
        <v>1.0</v>
      </c>
      <c r="H6" s="40" t="s">
        <v>751</v>
      </c>
      <c r="I6" s="40" t="s">
        <v>732</v>
      </c>
      <c r="J6" s="40" t="s">
        <v>752</v>
      </c>
      <c r="K6" s="41">
        <v>0.57</v>
      </c>
      <c r="L6" s="40" t="s">
        <v>753</v>
      </c>
      <c r="M6" s="45" t="s">
        <v>754</v>
      </c>
      <c r="N6" s="40" t="s">
        <v>755</v>
      </c>
      <c r="O6" s="40">
        <v>11.0</v>
      </c>
      <c r="P6" s="42">
        <v>46268.0</v>
      </c>
      <c r="Q6" s="43" t="s">
        <v>756</v>
      </c>
      <c r="R6" s="43" t="s">
        <v>757</v>
      </c>
      <c r="S6" s="43" t="s">
        <v>758</v>
      </c>
      <c r="T6" s="40" t="s">
        <v>759</v>
      </c>
      <c r="U6" s="44"/>
    </row>
    <row r="7">
      <c r="A7" s="40" t="s">
        <v>760</v>
      </c>
      <c r="B7" s="40" t="s">
        <v>708</v>
      </c>
      <c r="C7" s="40" t="s">
        <v>761</v>
      </c>
      <c r="D7" s="40">
        <v>26.0</v>
      </c>
      <c r="E7" s="40" t="s">
        <v>44</v>
      </c>
      <c r="F7" s="40" t="s">
        <v>730</v>
      </c>
      <c r="G7" s="40">
        <v>3.0</v>
      </c>
      <c r="H7" s="40" t="s">
        <v>762</v>
      </c>
      <c r="I7" s="40" t="s">
        <v>646</v>
      </c>
      <c r="J7" s="40" t="s">
        <v>763</v>
      </c>
      <c r="K7" s="41">
        <v>0.81</v>
      </c>
      <c r="L7" s="40" t="s">
        <v>659</v>
      </c>
      <c r="M7" s="45" t="s">
        <v>764</v>
      </c>
      <c r="N7" s="40" t="s">
        <v>765</v>
      </c>
      <c r="O7" s="40">
        <v>98.0</v>
      </c>
      <c r="P7" s="42">
        <v>46146.0</v>
      </c>
      <c r="Q7" s="43" t="s">
        <v>766</v>
      </c>
      <c r="R7" s="43" t="s">
        <v>767</v>
      </c>
      <c r="S7" s="43" t="s">
        <v>768</v>
      </c>
      <c r="T7" s="40" t="s">
        <v>718</v>
      </c>
      <c r="U7" s="44"/>
    </row>
    <row r="8">
      <c r="A8" s="40" t="s">
        <v>769</v>
      </c>
      <c r="B8" s="40" t="s">
        <v>708</v>
      </c>
      <c r="C8" s="40" t="s">
        <v>770</v>
      </c>
      <c r="D8" s="40">
        <v>28.0</v>
      </c>
      <c r="E8" s="40" t="s">
        <v>57</v>
      </c>
      <c r="F8" s="40" t="s">
        <v>730</v>
      </c>
      <c r="G8" s="40">
        <v>4.0</v>
      </c>
      <c r="H8" s="40" t="s">
        <v>771</v>
      </c>
      <c r="I8" s="40" t="s">
        <v>646</v>
      </c>
      <c r="J8" s="40" t="s">
        <v>772</v>
      </c>
      <c r="K8" s="41">
        <v>0.79</v>
      </c>
      <c r="L8" s="40" t="s">
        <v>646</v>
      </c>
      <c r="M8" s="45" t="s">
        <v>773</v>
      </c>
      <c r="N8" s="40" t="s">
        <v>774</v>
      </c>
      <c r="O8" s="40">
        <v>67.0</v>
      </c>
      <c r="P8" s="42">
        <v>46116.0</v>
      </c>
      <c r="Q8" s="43" t="s">
        <v>775</v>
      </c>
      <c r="R8" s="43" t="s">
        <v>776</v>
      </c>
      <c r="S8" s="43" t="s">
        <v>777</v>
      </c>
      <c r="T8" s="40" t="s">
        <v>739</v>
      </c>
      <c r="U8" s="44"/>
    </row>
    <row r="9">
      <c r="A9" s="40" t="s">
        <v>778</v>
      </c>
      <c r="B9" s="40" t="s">
        <v>708</v>
      </c>
      <c r="C9" s="40" t="s">
        <v>779</v>
      </c>
      <c r="D9" s="40">
        <v>31.0</v>
      </c>
      <c r="E9" s="40" t="s">
        <v>44</v>
      </c>
      <c r="F9" s="40" t="s">
        <v>730</v>
      </c>
      <c r="G9" s="40">
        <v>7.0</v>
      </c>
      <c r="H9" s="40" t="s">
        <v>780</v>
      </c>
      <c r="I9" s="40" t="s">
        <v>659</v>
      </c>
      <c r="J9" s="40" t="s">
        <v>722</v>
      </c>
      <c r="K9" s="41">
        <v>0.94</v>
      </c>
      <c r="L9" s="40" t="s">
        <v>659</v>
      </c>
      <c r="M9" s="40" t="s">
        <v>781</v>
      </c>
      <c r="N9" s="40" t="s">
        <v>782</v>
      </c>
      <c r="O9" s="40">
        <v>402.0</v>
      </c>
      <c r="P9" s="42">
        <v>46269.0</v>
      </c>
      <c r="Q9" s="43" t="s">
        <v>783</v>
      </c>
      <c r="R9" s="43" t="s">
        <v>784</v>
      </c>
      <c r="S9" s="43" t="s">
        <v>785</v>
      </c>
      <c r="T9" s="40" t="s">
        <v>718</v>
      </c>
      <c r="U9" s="44"/>
    </row>
    <row r="10">
      <c r="A10" s="40" t="s">
        <v>786</v>
      </c>
      <c r="B10" s="40" t="s">
        <v>708</v>
      </c>
      <c r="C10" s="40" t="s">
        <v>787</v>
      </c>
      <c r="D10" s="40">
        <v>25.0</v>
      </c>
      <c r="E10" s="40" t="s">
        <v>147</v>
      </c>
      <c r="F10" s="40" t="s">
        <v>730</v>
      </c>
      <c r="G10" s="40">
        <v>3.0</v>
      </c>
      <c r="H10" s="40" t="s">
        <v>788</v>
      </c>
      <c r="I10" s="40" t="s">
        <v>646</v>
      </c>
      <c r="J10" s="40" t="s">
        <v>789</v>
      </c>
      <c r="K10" s="41">
        <v>0.76</v>
      </c>
      <c r="L10" s="40" t="s">
        <v>646</v>
      </c>
      <c r="M10" s="45" t="s">
        <v>790</v>
      </c>
      <c r="N10" s="40" t="s">
        <v>791</v>
      </c>
      <c r="O10" s="40">
        <v>45.0</v>
      </c>
      <c r="P10" s="42">
        <v>46085.0</v>
      </c>
      <c r="Q10" s="43" t="s">
        <v>792</v>
      </c>
      <c r="R10" s="43" t="s">
        <v>793</v>
      </c>
      <c r="S10" s="43" t="s">
        <v>794</v>
      </c>
      <c r="T10" s="40" t="s">
        <v>739</v>
      </c>
      <c r="U10" s="44"/>
    </row>
    <row r="11">
      <c r="A11" s="40" t="s">
        <v>795</v>
      </c>
      <c r="B11" s="40" t="s">
        <v>708</v>
      </c>
      <c r="C11" s="40" t="s">
        <v>796</v>
      </c>
      <c r="D11" s="40">
        <v>34.0</v>
      </c>
      <c r="E11" s="40" t="s">
        <v>44</v>
      </c>
      <c r="F11" s="40" t="s">
        <v>710</v>
      </c>
      <c r="G11" s="40">
        <v>10.0</v>
      </c>
      <c r="H11" s="40" t="s">
        <v>797</v>
      </c>
      <c r="I11" s="40" t="s">
        <v>659</v>
      </c>
      <c r="J11" s="40" t="s">
        <v>798</v>
      </c>
      <c r="K11" s="41">
        <v>0.96</v>
      </c>
      <c r="L11" s="40" t="s">
        <v>659</v>
      </c>
      <c r="M11" s="45" t="s">
        <v>799</v>
      </c>
      <c r="N11" s="40" t="s">
        <v>800</v>
      </c>
      <c r="O11" s="40">
        <v>520.0</v>
      </c>
      <c r="P11" s="40" t="s">
        <v>801</v>
      </c>
      <c r="Q11" s="43" t="s">
        <v>802</v>
      </c>
      <c r="R11" s="43" t="s">
        <v>803</v>
      </c>
      <c r="S11" s="43" t="s">
        <v>804</v>
      </c>
      <c r="T11" s="40" t="s">
        <v>718</v>
      </c>
      <c r="U11" s="44"/>
    </row>
    <row r="12">
      <c r="A12" s="40" t="s">
        <v>805</v>
      </c>
      <c r="B12" s="40" t="s">
        <v>152</v>
      </c>
      <c r="C12" s="40" t="s">
        <v>806</v>
      </c>
      <c r="D12" s="40">
        <v>24.0</v>
      </c>
      <c r="E12" s="40" t="s">
        <v>44</v>
      </c>
      <c r="F12" s="40" t="s">
        <v>730</v>
      </c>
      <c r="G12" s="40">
        <v>3.0</v>
      </c>
      <c r="H12" s="40" t="s">
        <v>807</v>
      </c>
      <c r="I12" s="40" t="s">
        <v>646</v>
      </c>
      <c r="J12" s="40" t="s">
        <v>772</v>
      </c>
      <c r="K12" s="41">
        <v>0.73</v>
      </c>
      <c r="L12" s="40" t="s">
        <v>646</v>
      </c>
      <c r="M12" s="45" t="s">
        <v>808</v>
      </c>
      <c r="N12" s="40" t="s">
        <v>809</v>
      </c>
      <c r="O12" s="40">
        <v>23.0</v>
      </c>
      <c r="P12" s="42">
        <v>46176.0</v>
      </c>
      <c r="Q12" s="43" t="s">
        <v>810</v>
      </c>
      <c r="R12" s="43" t="s">
        <v>811</v>
      </c>
      <c r="S12" s="43" t="s">
        <v>812</v>
      </c>
      <c r="T12" s="40" t="s">
        <v>739</v>
      </c>
      <c r="U12" s="44"/>
    </row>
    <row r="13">
      <c r="A13" s="46" t="s">
        <v>813</v>
      </c>
      <c r="B13" s="46" t="s">
        <v>152</v>
      </c>
      <c r="C13" s="46" t="s">
        <v>814</v>
      </c>
      <c r="D13" s="46">
        <v>26.0</v>
      </c>
      <c r="E13" s="46" t="s">
        <v>44</v>
      </c>
      <c r="F13" s="40" t="s">
        <v>730</v>
      </c>
      <c r="G13" s="46">
        <v>4.0</v>
      </c>
      <c r="H13" s="46" t="s">
        <v>762</v>
      </c>
      <c r="I13" s="46" t="s">
        <v>646</v>
      </c>
      <c r="J13" s="46" t="s">
        <v>763</v>
      </c>
      <c r="K13" s="47">
        <v>0.82</v>
      </c>
      <c r="L13" s="46" t="s">
        <v>659</v>
      </c>
      <c r="M13" s="48" t="s">
        <v>815</v>
      </c>
      <c r="N13" s="46" t="s">
        <v>816</v>
      </c>
      <c r="O13" s="46">
        <v>96.0</v>
      </c>
      <c r="P13" s="49">
        <v>46146.0</v>
      </c>
      <c r="Q13" s="50" t="s">
        <v>817</v>
      </c>
      <c r="R13" s="50" t="s">
        <v>818</v>
      </c>
      <c r="S13" s="50" t="s">
        <v>819</v>
      </c>
      <c r="T13" s="46" t="s">
        <v>718</v>
      </c>
    </row>
    <row r="14">
      <c r="A14" s="46" t="s">
        <v>820</v>
      </c>
      <c r="B14" s="46" t="s">
        <v>152</v>
      </c>
      <c r="C14" s="46" t="s">
        <v>821</v>
      </c>
      <c r="D14" s="46">
        <v>29.0</v>
      </c>
      <c r="E14" s="46" t="s">
        <v>147</v>
      </c>
      <c r="F14" s="40" t="s">
        <v>730</v>
      </c>
      <c r="G14" s="46">
        <v>5.0</v>
      </c>
      <c r="H14" s="46" t="s">
        <v>822</v>
      </c>
      <c r="I14" s="46" t="s">
        <v>659</v>
      </c>
      <c r="J14" s="46" t="s">
        <v>823</v>
      </c>
      <c r="K14" s="47">
        <v>0.88</v>
      </c>
      <c r="L14" s="46" t="s">
        <v>659</v>
      </c>
      <c r="M14" s="48" t="s">
        <v>824</v>
      </c>
      <c r="N14" s="46" t="s">
        <v>825</v>
      </c>
      <c r="O14" s="46">
        <v>154.0</v>
      </c>
      <c r="P14" s="49">
        <v>46207.0</v>
      </c>
      <c r="Q14" s="50" t="s">
        <v>826</v>
      </c>
      <c r="R14" s="50" t="s">
        <v>827</v>
      </c>
      <c r="S14" s="50" t="s">
        <v>828</v>
      </c>
      <c r="T14" s="46" t="s">
        <v>718</v>
      </c>
    </row>
    <row r="15">
      <c r="A15" s="46" t="s">
        <v>829</v>
      </c>
      <c r="B15" s="46" t="s">
        <v>152</v>
      </c>
      <c r="C15" s="46" t="s">
        <v>830</v>
      </c>
      <c r="D15" s="46">
        <v>25.0</v>
      </c>
      <c r="E15" s="46" t="s">
        <v>57</v>
      </c>
      <c r="F15" s="40" t="s">
        <v>730</v>
      </c>
      <c r="G15" s="46">
        <v>3.0</v>
      </c>
      <c r="H15" s="46" t="s">
        <v>831</v>
      </c>
      <c r="I15" s="46" t="s">
        <v>646</v>
      </c>
      <c r="J15" s="46" t="s">
        <v>832</v>
      </c>
      <c r="K15" s="47">
        <v>0.75</v>
      </c>
      <c r="L15" s="46" t="s">
        <v>646</v>
      </c>
      <c r="M15" s="48" t="s">
        <v>833</v>
      </c>
      <c r="N15" s="46" t="s">
        <v>834</v>
      </c>
      <c r="O15" s="46">
        <v>41.0</v>
      </c>
      <c r="P15" s="49">
        <v>46057.0</v>
      </c>
      <c r="Q15" s="50" t="s">
        <v>835</v>
      </c>
      <c r="R15" s="50" t="s">
        <v>836</v>
      </c>
      <c r="S15" s="50" t="s">
        <v>837</v>
      </c>
      <c r="T15" s="46" t="s">
        <v>739</v>
      </c>
    </row>
    <row r="16">
      <c r="A16" s="46" t="s">
        <v>838</v>
      </c>
      <c r="B16" s="46" t="s">
        <v>152</v>
      </c>
      <c r="C16" s="46" t="s">
        <v>839</v>
      </c>
      <c r="D16" s="46">
        <v>21.0</v>
      </c>
      <c r="E16" s="46" t="s">
        <v>108</v>
      </c>
      <c r="F16" s="40" t="s">
        <v>730</v>
      </c>
      <c r="G16" s="46">
        <v>1.0</v>
      </c>
      <c r="H16" s="46" t="s">
        <v>840</v>
      </c>
      <c r="I16" s="46" t="s">
        <v>732</v>
      </c>
      <c r="J16" s="46" t="s">
        <v>752</v>
      </c>
      <c r="K16" s="47">
        <v>0.55</v>
      </c>
      <c r="L16" s="46" t="s">
        <v>753</v>
      </c>
      <c r="M16" s="48" t="s">
        <v>841</v>
      </c>
      <c r="N16" s="46" t="s">
        <v>842</v>
      </c>
      <c r="O16" s="46">
        <v>6.0</v>
      </c>
      <c r="P16" s="49">
        <v>46237.0</v>
      </c>
      <c r="Q16" s="50" t="s">
        <v>843</v>
      </c>
      <c r="R16" s="50" t="s">
        <v>844</v>
      </c>
      <c r="S16" s="50" t="s">
        <v>845</v>
      </c>
      <c r="T16" s="46" t="s">
        <v>759</v>
      </c>
    </row>
    <row r="17">
      <c r="A17" s="46" t="s">
        <v>846</v>
      </c>
      <c r="B17" s="46" t="s">
        <v>152</v>
      </c>
      <c r="C17" s="46" t="s">
        <v>847</v>
      </c>
      <c r="D17" s="46">
        <v>33.0</v>
      </c>
      <c r="E17" s="46" t="s">
        <v>44</v>
      </c>
      <c r="F17" s="40" t="s">
        <v>730</v>
      </c>
      <c r="G17" s="46">
        <v>7.0</v>
      </c>
      <c r="H17" s="46" t="s">
        <v>848</v>
      </c>
      <c r="I17" s="46" t="s">
        <v>659</v>
      </c>
      <c r="J17" s="46" t="s">
        <v>743</v>
      </c>
      <c r="K17" s="47">
        <v>0.91</v>
      </c>
      <c r="L17" s="46" t="s">
        <v>659</v>
      </c>
      <c r="M17" s="46" t="s">
        <v>849</v>
      </c>
      <c r="N17" s="46" t="s">
        <v>850</v>
      </c>
      <c r="O17" s="46">
        <v>230.0</v>
      </c>
      <c r="P17" s="49">
        <v>46238.0</v>
      </c>
      <c r="Q17" s="50" t="s">
        <v>851</v>
      </c>
      <c r="R17" s="50" t="s">
        <v>852</v>
      </c>
      <c r="S17" s="50" t="s">
        <v>853</v>
      </c>
      <c r="T17" s="46" t="s">
        <v>718</v>
      </c>
    </row>
    <row r="18">
      <c r="A18" s="46" t="s">
        <v>854</v>
      </c>
      <c r="B18" s="46" t="s">
        <v>152</v>
      </c>
      <c r="C18" s="46" t="s">
        <v>855</v>
      </c>
      <c r="D18" s="46">
        <v>28.0</v>
      </c>
      <c r="E18" s="46" t="s">
        <v>147</v>
      </c>
      <c r="F18" s="40" t="s">
        <v>710</v>
      </c>
      <c r="G18" s="46">
        <v>4.0</v>
      </c>
      <c r="H18" s="46" t="s">
        <v>856</v>
      </c>
      <c r="I18" s="46" t="s">
        <v>646</v>
      </c>
      <c r="J18" s="46" t="s">
        <v>772</v>
      </c>
      <c r="K18" s="47">
        <v>0.8</v>
      </c>
      <c r="L18" s="46" t="s">
        <v>659</v>
      </c>
      <c r="M18" s="48" t="s">
        <v>857</v>
      </c>
      <c r="N18" s="46" t="s">
        <v>858</v>
      </c>
      <c r="O18" s="46">
        <v>88.0</v>
      </c>
      <c r="P18" s="49">
        <v>46116.0</v>
      </c>
      <c r="Q18" s="50" t="s">
        <v>859</v>
      </c>
      <c r="R18" s="50" t="s">
        <v>860</v>
      </c>
      <c r="S18" s="50" t="s">
        <v>861</v>
      </c>
      <c r="T18" s="46" t="s">
        <v>718</v>
      </c>
    </row>
    <row r="19">
      <c r="A19" s="46" t="s">
        <v>862</v>
      </c>
      <c r="B19" s="46" t="s">
        <v>152</v>
      </c>
      <c r="C19" s="46" t="s">
        <v>863</v>
      </c>
      <c r="D19" s="46">
        <v>23.0</v>
      </c>
      <c r="E19" s="46" t="s">
        <v>44</v>
      </c>
      <c r="F19" s="40" t="s">
        <v>730</v>
      </c>
      <c r="G19" s="46">
        <v>2.0</v>
      </c>
      <c r="H19" s="46" t="s">
        <v>864</v>
      </c>
      <c r="I19" s="46" t="s">
        <v>732</v>
      </c>
      <c r="J19" s="46" t="s">
        <v>832</v>
      </c>
      <c r="K19" s="47">
        <v>0.67</v>
      </c>
      <c r="L19" s="46" t="s">
        <v>646</v>
      </c>
      <c r="M19" s="48" t="s">
        <v>865</v>
      </c>
      <c r="N19" s="46" t="s">
        <v>866</v>
      </c>
      <c r="O19" s="46">
        <v>19.0</v>
      </c>
      <c r="P19" s="49">
        <v>46026.0</v>
      </c>
      <c r="Q19" s="50" t="s">
        <v>867</v>
      </c>
      <c r="R19" s="50" t="s">
        <v>868</v>
      </c>
      <c r="S19" s="50" t="s">
        <v>869</v>
      </c>
      <c r="T19" s="46" t="s">
        <v>739</v>
      </c>
    </row>
    <row r="20">
      <c r="A20" s="46" t="s">
        <v>870</v>
      </c>
      <c r="B20" s="46" t="s">
        <v>152</v>
      </c>
      <c r="C20" s="46" t="s">
        <v>871</v>
      </c>
      <c r="D20" s="46">
        <v>35.0</v>
      </c>
      <c r="E20" s="46" t="s">
        <v>44</v>
      </c>
      <c r="F20" s="40" t="s">
        <v>730</v>
      </c>
      <c r="G20" s="46">
        <v>10.0</v>
      </c>
      <c r="H20" s="46" t="s">
        <v>780</v>
      </c>
      <c r="I20" s="46" t="s">
        <v>659</v>
      </c>
      <c r="J20" s="46" t="s">
        <v>722</v>
      </c>
      <c r="K20" s="47">
        <v>0.95</v>
      </c>
      <c r="L20" s="46" t="s">
        <v>659</v>
      </c>
      <c r="M20" s="48" t="s">
        <v>872</v>
      </c>
      <c r="N20" s="46" t="s">
        <v>873</v>
      </c>
      <c r="O20" s="46">
        <v>410.0</v>
      </c>
      <c r="P20" s="49">
        <v>46269.0</v>
      </c>
      <c r="Q20" s="50" t="s">
        <v>874</v>
      </c>
      <c r="R20" s="50" t="s">
        <v>875</v>
      </c>
      <c r="S20" s="50" t="s">
        <v>876</v>
      </c>
      <c r="T20" s="46" t="s">
        <v>718</v>
      </c>
    </row>
    <row r="21">
      <c r="A21" s="46" t="s">
        <v>877</v>
      </c>
      <c r="B21" s="46" t="s">
        <v>152</v>
      </c>
      <c r="C21" s="46" t="s">
        <v>878</v>
      </c>
      <c r="D21" s="46">
        <v>22.0</v>
      </c>
      <c r="E21" s="46" t="s">
        <v>44</v>
      </c>
      <c r="F21" s="40" t="s">
        <v>730</v>
      </c>
      <c r="G21" s="46">
        <v>1.0</v>
      </c>
      <c r="H21" s="46" t="s">
        <v>879</v>
      </c>
      <c r="I21" s="46" t="s">
        <v>732</v>
      </c>
      <c r="J21" s="46" t="s">
        <v>752</v>
      </c>
      <c r="K21" s="47">
        <v>0.6</v>
      </c>
      <c r="L21" s="46" t="s">
        <v>646</v>
      </c>
      <c r="M21" s="48" t="s">
        <v>880</v>
      </c>
      <c r="N21" s="46" t="s">
        <v>842</v>
      </c>
      <c r="O21" s="46">
        <v>9.0</v>
      </c>
      <c r="P21" s="46" t="s">
        <v>881</v>
      </c>
      <c r="Q21" s="50" t="s">
        <v>882</v>
      </c>
      <c r="R21" s="50" t="s">
        <v>883</v>
      </c>
      <c r="S21" s="50" t="s">
        <v>884</v>
      </c>
      <c r="T21" s="46" t="s">
        <v>759</v>
      </c>
    </row>
    <row r="22">
      <c r="A22" s="46" t="s">
        <v>885</v>
      </c>
      <c r="B22" s="46" t="s">
        <v>886</v>
      </c>
      <c r="C22" s="46" t="s">
        <v>887</v>
      </c>
      <c r="D22" s="46">
        <v>27.0</v>
      </c>
      <c r="E22" s="46" t="s">
        <v>44</v>
      </c>
      <c r="F22" s="40" t="s">
        <v>730</v>
      </c>
      <c r="G22" s="46">
        <v>4.0</v>
      </c>
      <c r="H22" s="46" t="s">
        <v>856</v>
      </c>
      <c r="I22" s="46" t="s">
        <v>646</v>
      </c>
      <c r="J22" s="46" t="s">
        <v>772</v>
      </c>
      <c r="K22" s="47">
        <v>0.83</v>
      </c>
      <c r="L22" s="46" t="s">
        <v>659</v>
      </c>
      <c r="M22" s="48" t="s">
        <v>888</v>
      </c>
      <c r="N22" s="46" t="s">
        <v>889</v>
      </c>
      <c r="O22" s="46">
        <v>120.0</v>
      </c>
      <c r="P22" s="49">
        <v>46177.0</v>
      </c>
      <c r="Q22" s="50" t="s">
        <v>890</v>
      </c>
      <c r="R22" s="50" t="s">
        <v>891</v>
      </c>
      <c r="S22" s="50" t="s">
        <v>892</v>
      </c>
      <c r="T22" s="46" t="s">
        <v>718</v>
      </c>
    </row>
    <row r="23">
      <c r="A23" s="46" t="s">
        <v>893</v>
      </c>
      <c r="B23" s="46" t="s">
        <v>886</v>
      </c>
      <c r="C23" s="46" t="s">
        <v>894</v>
      </c>
      <c r="D23" s="46">
        <v>22.0</v>
      </c>
      <c r="E23" s="46" t="s">
        <v>44</v>
      </c>
      <c r="F23" s="40" t="s">
        <v>730</v>
      </c>
      <c r="G23" s="46">
        <v>2.0</v>
      </c>
      <c r="H23" s="46" t="s">
        <v>895</v>
      </c>
      <c r="I23" s="46" t="s">
        <v>732</v>
      </c>
      <c r="J23" s="46" t="s">
        <v>832</v>
      </c>
      <c r="K23" s="47">
        <v>0.69</v>
      </c>
      <c r="L23" s="46" t="s">
        <v>646</v>
      </c>
      <c r="M23" s="48" t="s">
        <v>896</v>
      </c>
      <c r="N23" s="46" t="s">
        <v>897</v>
      </c>
      <c r="O23" s="46">
        <v>28.0</v>
      </c>
      <c r="P23" s="49">
        <v>46026.0</v>
      </c>
      <c r="Q23" s="50" t="s">
        <v>898</v>
      </c>
      <c r="R23" s="50" t="s">
        <v>899</v>
      </c>
      <c r="S23" s="50" t="s">
        <v>900</v>
      </c>
      <c r="T23" s="46" t="s">
        <v>739</v>
      </c>
    </row>
    <row r="24">
      <c r="A24" s="46" t="s">
        <v>901</v>
      </c>
      <c r="B24" s="46" t="s">
        <v>886</v>
      </c>
      <c r="C24" s="46" t="s">
        <v>902</v>
      </c>
      <c r="D24" s="46">
        <v>31.0</v>
      </c>
      <c r="E24" s="46" t="s">
        <v>147</v>
      </c>
      <c r="F24" s="40" t="s">
        <v>730</v>
      </c>
      <c r="G24" s="46">
        <v>7.0</v>
      </c>
      <c r="H24" s="46" t="s">
        <v>903</v>
      </c>
      <c r="I24" s="46" t="s">
        <v>659</v>
      </c>
      <c r="J24" s="46" t="s">
        <v>722</v>
      </c>
      <c r="K24" s="47">
        <v>0.93</v>
      </c>
      <c r="L24" s="46" t="s">
        <v>659</v>
      </c>
      <c r="M24" s="46" t="s">
        <v>904</v>
      </c>
      <c r="N24" s="46" t="s">
        <v>905</v>
      </c>
      <c r="O24" s="46">
        <v>350.0</v>
      </c>
      <c r="P24" s="49">
        <v>46269.0</v>
      </c>
      <c r="Q24" s="50" t="s">
        <v>906</v>
      </c>
      <c r="R24" s="50" t="s">
        <v>907</v>
      </c>
      <c r="S24" s="50" t="s">
        <v>908</v>
      </c>
      <c r="T24" s="46" t="s">
        <v>718</v>
      </c>
    </row>
    <row r="25">
      <c r="A25" s="46" t="s">
        <v>909</v>
      </c>
      <c r="B25" s="46" t="s">
        <v>886</v>
      </c>
      <c r="C25" s="46" t="s">
        <v>910</v>
      </c>
      <c r="D25" s="46">
        <v>25.0</v>
      </c>
      <c r="E25" s="46" t="s">
        <v>108</v>
      </c>
      <c r="F25" s="40" t="s">
        <v>730</v>
      </c>
      <c r="G25" s="46">
        <v>3.0</v>
      </c>
      <c r="H25" s="46" t="s">
        <v>788</v>
      </c>
      <c r="I25" s="46" t="s">
        <v>646</v>
      </c>
      <c r="J25" s="46" t="s">
        <v>752</v>
      </c>
      <c r="K25" s="47">
        <v>0.77</v>
      </c>
      <c r="L25" s="46" t="s">
        <v>646</v>
      </c>
      <c r="M25" s="48" t="s">
        <v>911</v>
      </c>
      <c r="N25" s="46" t="s">
        <v>912</v>
      </c>
      <c r="O25" s="46">
        <v>52.0</v>
      </c>
      <c r="P25" s="49">
        <v>46085.0</v>
      </c>
      <c r="Q25" s="50" t="s">
        <v>913</v>
      </c>
      <c r="R25" s="50" t="s">
        <v>914</v>
      </c>
      <c r="S25" s="50" t="s">
        <v>915</v>
      </c>
      <c r="T25" s="46" t="s">
        <v>739</v>
      </c>
    </row>
    <row r="26">
      <c r="A26" s="46" t="s">
        <v>916</v>
      </c>
      <c r="B26" s="46" t="s">
        <v>886</v>
      </c>
      <c r="C26" s="46" t="s">
        <v>917</v>
      </c>
      <c r="D26" s="46">
        <v>29.0</v>
      </c>
      <c r="E26" s="46" t="s">
        <v>44</v>
      </c>
      <c r="F26" s="40" t="s">
        <v>710</v>
      </c>
      <c r="G26" s="46">
        <v>5.0</v>
      </c>
      <c r="H26" s="46" t="s">
        <v>822</v>
      </c>
      <c r="I26" s="46" t="s">
        <v>659</v>
      </c>
      <c r="J26" s="46" t="s">
        <v>918</v>
      </c>
      <c r="K26" s="47">
        <v>0.88</v>
      </c>
      <c r="L26" s="46" t="s">
        <v>659</v>
      </c>
      <c r="M26" s="48" t="s">
        <v>919</v>
      </c>
      <c r="N26" s="46" t="s">
        <v>920</v>
      </c>
      <c r="O26" s="46">
        <v>198.0</v>
      </c>
      <c r="P26" s="49">
        <v>46207.0</v>
      </c>
      <c r="Q26" s="50" t="s">
        <v>921</v>
      </c>
      <c r="R26" s="50" t="s">
        <v>922</v>
      </c>
      <c r="S26" s="50" t="s">
        <v>923</v>
      </c>
      <c r="T26" s="46" t="s">
        <v>718</v>
      </c>
    </row>
    <row r="27">
      <c r="A27" s="46" t="s">
        <v>924</v>
      </c>
      <c r="B27" s="46" t="s">
        <v>886</v>
      </c>
      <c r="C27" s="46" t="s">
        <v>925</v>
      </c>
      <c r="D27" s="46">
        <v>34.0</v>
      </c>
      <c r="E27" s="46" t="s">
        <v>44</v>
      </c>
      <c r="F27" s="40" t="s">
        <v>730</v>
      </c>
      <c r="G27" s="46">
        <v>9.0</v>
      </c>
      <c r="H27" s="46" t="s">
        <v>780</v>
      </c>
      <c r="I27" s="46" t="s">
        <v>659</v>
      </c>
      <c r="J27" s="46" t="s">
        <v>926</v>
      </c>
      <c r="K27" s="47">
        <v>0.95</v>
      </c>
      <c r="L27" s="46" t="s">
        <v>659</v>
      </c>
      <c r="M27" s="46" t="s">
        <v>927</v>
      </c>
      <c r="N27" s="46" t="s">
        <v>928</v>
      </c>
      <c r="O27" s="46">
        <v>410.0</v>
      </c>
      <c r="P27" s="49">
        <v>46269.0</v>
      </c>
      <c r="Q27" s="50" t="s">
        <v>929</v>
      </c>
      <c r="R27" s="50" t="s">
        <v>930</v>
      </c>
      <c r="S27" s="50" t="s">
        <v>931</v>
      </c>
      <c r="T27" s="46" t="s">
        <v>718</v>
      </c>
    </row>
    <row r="28">
      <c r="A28" s="46" t="s">
        <v>932</v>
      </c>
      <c r="B28" s="46" t="s">
        <v>886</v>
      </c>
      <c r="C28" s="46" t="s">
        <v>933</v>
      </c>
      <c r="D28" s="46">
        <v>23.0</v>
      </c>
      <c r="E28" s="46" t="s">
        <v>57</v>
      </c>
      <c r="F28" s="40" t="s">
        <v>710</v>
      </c>
      <c r="G28" s="46">
        <v>1.0</v>
      </c>
      <c r="H28" s="46" t="s">
        <v>879</v>
      </c>
      <c r="I28" s="46" t="s">
        <v>732</v>
      </c>
      <c r="J28" s="46" t="s">
        <v>832</v>
      </c>
      <c r="K28" s="47">
        <v>0.58</v>
      </c>
      <c r="L28" s="46" t="s">
        <v>753</v>
      </c>
      <c r="M28" s="48" t="s">
        <v>934</v>
      </c>
      <c r="N28" s="46" t="s">
        <v>935</v>
      </c>
      <c r="O28" s="46">
        <v>12.0</v>
      </c>
      <c r="P28" s="49">
        <v>46268.0</v>
      </c>
      <c r="Q28" s="50" t="s">
        <v>936</v>
      </c>
      <c r="R28" s="50" t="s">
        <v>937</v>
      </c>
      <c r="S28" s="50" t="s">
        <v>938</v>
      </c>
      <c r="T28" s="46" t="s">
        <v>759</v>
      </c>
    </row>
    <row r="29">
      <c r="A29" s="46" t="s">
        <v>939</v>
      </c>
      <c r="B29" s="46" t="s">
        <v>886</v>
      </c>
      <c r="C29" s="46" t="s">
        <v>940</v>
      </c>
      <c r="D29" s="46">
        <v>28.0</v>
      </c>
      <c r="E29" s="46" t="s">
        <v>147</v>
      </c>
      <c r="F29" s="40" t="s">
        <v>730</v>
      </c>
      <c r="G29" s="46">
        <v>4.0</v>
      </c>
      <c r="H29" s="46" t="s">
        <v>941</v>
      </c>
      <c r="I29" s="46" t="s">
        <v>646</v>
      </c>
      <c r="J29" s="46" t="s">
        <v>772</v>
      </c>
      <c r="K29" s="47">
        <v>0.82</v>
      </c>
      <c r="L29" s="46" t="s">
        <v>659</v>
      </c>
      <c r="M29" s="48" t="s">
        <v>942</v>
      </c>
      <c r="N29" s="46" t="s">
        <v>943</v>
      </c>
      <c r="O29" s="46">
        <v>105.0</v>
      </c>
      <c r="P29" s="49">
        <v>46146.0</v>
      </c>
      <c r="Q29" s="50" t="s">
        <v>944</v>
      </c>
      <c r="R29" s="50" t="s">
        <v>945</v>
      </c>
      <c r="S29" s="50" t="s">
        <v>946</v>
      </c>
      <c r="T29" s="46" t="s">
        <v>718</v>
      </c>
    </row>
    <row r="30">
      <c r="A30" s="46" t="s">
        <v>947</v>
      </c>
      <c r="B30" s="46" t="s">
        <v>886</v>
      </c>
      <c r="C30" s="46" t="s">
        <v>948</v>
      </c>
      <c r="D30" s="46">
        <v>26.0</v>
      </c>
      <c r="E30" s="46" t="s">
        <v>44</v>
      </c>
      <c r="F30" s="40" t="s">
        <v>730</v>
      </c>
      <c r="G30" s="46">
        <v>3.0</v>
      </c>
      <c r="H30" s="46" t="s">
        <v>771</v>
      </c>
      <c r="I30" s="46" t="s">
        <v>646</v>
      </c>
      <c r="J30" s="46" t="s">
        <v>832</v>
      </c>
      <c r="K30" s="47">
        <v>0.79</v>
      </c>
      <c r="L30" s="46" t="s">
        <v>646</v>
      </c>
      <c r="M30" s="48" t="s">
        <v>949</v>
      </c>
      <c r="N30" s="46" t="s">
        <v>950</v>
      </c>
      <c r="O30" s="46">
        <v>61.0</v>
      </c>
      <c r="P30" s="49">
        <v>46116.0</v>
      </c>
      <c r="Q30" s="50" t="s">
        <v>951</v>
      </c>
      <c r="R30" s="50" t="s">
        <v>952</v>
      </c>
      <c r="S30" s="50" t="s">
        <v>953</v>
      </c>
      <c r="T30" s="46" t="s">
        <v>739</v>
      </c>
    </row>
    <row r="31">
      <c r="A31" s="46" t="s">
        <v>954</v>
      </c>
      <c r="B31" s="46" t="s">
        <v>886</v>
      </c>
      <c r="C31" s="46" t="s">
        <v>955</v>
      </c>
      <c r="D31" s="46">
        <v>36.0</v>
      </c>
      <c r="E31" s="46" t="s">
        <v>44</v>
      </c>
      <c r="F31" s="40" t="s">
        <v>730</v>
      </c>
      <c r="G31" s="46">
        <v>12.0</v>
      </c>
      <c r="H31" s="46" t="s">
        <v>956</v>
      </c>
      <c r="I31" s="46" t="s">
        <v>659</v>
      </c>
      <c r="J31" s="46" t="s">
        <v>722</v>
      </c>
      <c r="K31" s="47">
        <v>0.97</v>
      </c>
      <c r="L31" s="46" t="s">
        <v>659</v>
      </c>
      <c r="M31" s="48" t="s">
        <v>957</v>
      </c>
      <c r="N31" s="46" t="s">
        <v>958</v>
      </c>
      <c r="O31" s="46">
        <v>620.0</v>
      </c>
      <c r="P31" s="46" t="s">
        <v>801</v>
      </c>
      <c r="Q31" s="50" t="s">
        <v>959</v>
      </c>
      <c r="R31" s="50" t="s">
        <v>960</v>
      </c>
      <c r="S31" s="50" t="s">
        <v>961</v>
      </c>
      <c r="T31" s="46" t="s">
        <v>718</v>
      </c>
    </row>
    <row r="32">
      <c r="A32" s="46" t="s">
        <v>962</v>
      </c>
      <c r="B32" s="46" t="s">
        <v>963</v>
      </c>
      <c r="C32" s="46" t="s">
        <v>964</v>
      </c>
      <c r="D32" s="46">
        <v>24.0</v>
      </c>
      <c r="E32" s="46" t="s">
        <v>44</v>
      </c>
      <c r="F32" s="40" t="s">
        <v>710</v>
      </c>
      <c r="G32" s="46">
        <v>2.0</v>
      </c>
      <c r="H32" s="46" t="s">
        <v>731</v>
      </c>
      <c r="I32" s="46" t="s">
        <v>732</v>
      </c>
      <c r="J32" s="46" t="s">
        <v>832</v>
      </c>
      <c r="K32" s="47">
        <v>0.7</v>
      </c>
      <c r="L32" s="46" t="s">
        <v>646</v>
      </c>
      <c r="M32" s="48" t="s">
        <v>965</v>
      </c>
      <c r="N32" s="46" t="s">
        <v>966</v>
      </c>
      <c r="O32" s="46">
        <v>34.0</v>
      </c>
      <c r="P32" s="49">
        <v>46057.0</v>
      </c>
      <c r="Q32" s="50" t="s">
        <v>967</v>
      </c>
      <c r="R32" s="50" t="s">
        <v>968</v>
      </c>
      <c r="S32" s="50" t="s">
        <v>969</v>
      </c>
      <c r="T32" s="46" t="s">
        <v>739</v>
      </c>
    </row>
    <row r="33">
      <c r="A33" s="46" t="s">
        <v>970</v>
      </c>
      <c r="B33" s="46" t="s">
        <v>963</v>
      </c>
      <c r="C33" s="46" t="s">
        <v>971</v>
      </c>
      <c r="D33" s="46">
        <v>32.0</v>
      </c>
      <c r="E33" s="46" t="s">
        <v>44</v>
      </c>
      <c r="F33" s="40" t="s">
        <v>730</v>
      </c>
      <c r="G33" s="46">
        <v>8.0</v>
      </c>
      <c r="H33" s="46" t="s">
        <v>742</v>
      </c>
      <c r="I33" s="46" t="s">
        <v>659</v>
      </c>
      <c r="J33" s="46" t="s">
        <v>722</v>
      </c>
      <c r="K33" s="47">
        <v>0.92</v>
      </c>
      <c r="L33" s="46" t="s">
        <v>659</v>
      </c>
      <c r="M33" s="48" t="s">
        <v>972</v>
      </c>
      <c r="N33" s="46" t="s">
        <v>973</v>
      </c>
      <c r="O33" s="46">
        <v>260.0</v>
      </c>
      <c r="P33" s="49">
        <v>46238.0</v>
      </c>
      <c r="Q33" s="50" t="s">
        <v>974</v>
      </c>
      <c r="R33" s="50" t="s">
        <v>975</v>
      </c>
      <c r="S33" s="50" t="s">
        <v>976</v>
      </c>
      <c r="T33" s="46" t="s">
        <v>718</v>
      </c>
    </row>
    <row r="34">
      <c r="A34" s="46" t="s">
        <v>977</v>
      </c>
      <c r="B34" s="46" t="s">
        <v>963</v>
      </c>
      <c r="C34" s="46" t="s">
        <v>978</v>
      </c>
      <c r="D34" s="46">
        <v>27.0</v>
      </c>
      <c r="E34" s="46" t="s">
        <v>147</v>
      </c>
      <c r="F34" s="40" t="s">
        <v>710</v>
      </c>
      <c r="G34" s="46">
        <v>4.0</v>
      </c>
      <c r="H34" s="46" t="s">
        <v>856</v>
      </c>
      <c r="I34" s="46" t="s">
        <v>646</v>
      </c>
      <c r="J34" s="46" t="s">
        <v>763</v>
      </c>
      <c r="K34" s="47">
        <v>0.84</v>
      </c>
      <c r="L34" s="46" t="s">
        <v>659</v>
      </c>
      <c r="M34" s="48" t="s">
        <v>979</v>
      </c>
      <c r="N34" s="46" t="s">
        <v>980</v>
      </c>
      <c r="O34" s="46">
        <v>112.0</v>
      </c>
      <c r="P34" s="49">
        <v>46177.0</v>
      </c>
      <c r="Q34" s="50" t="s">
        <v>981</v>
      </c>
      <c r="R34" s="50" t="s">
        <v>982</v>
      </c>
      <c r="S34" s="50" t="s">
        <v>983</v>
      </c>
      <c r="T34" s="46" t="s">
        <v>718</v>
      </c>
    </row>
    <row r="35">
      <c r="A35" s="46" t="s">
        <v>984</v>
      </c>
      <c r="B35" s="46" t="s">
        <v>963</v>
      </c>
      <c r="C35" s="46" t="s">
        <v>985</v>
      </c>
      <c r="D35" s="46">
        <v>22.0</v>
      </c>
      <c r="E35" s="46" t="s">
        <v>108</v>
      </c>
      <c r="F35" s="40" t="s">
        <v>730</v>
      </c>
      <c r="G35" s="46">
        <v>1.0</v>
      </c>
      <c r="H35" s="46" t="s">
        <v>751</v>
      </c>
      <c r="I35" s="46" t="s">
        <v>732</v>
      </c>
      <c r="J35" s="46" t="s">
        <v>752</v>
      </c>
      <c r="K35" s="47">
        <v>0.58</v>
      </c>
      <c r="L35" s="46" t="s">
        <v>753</v>
      </c>
      <c r="M35" s="48" t="s">
        <v>986</v>
      </c>
      <c r="N35" s="46" t="s">
        <v>987</v>
      </c>
      <c r="O35" s="46">
        <v>15.0</v>
      </c>
      <c r="P35" s="49">
        <v>46268.0</v>
      </c>
      <c r="Q35" s="50" t="s">
        <v>988</v>
      </c>
      <c r="R35" s="50" t="s">
        <v>989</v>
      </c>
      <c r="S35" s="50" t="s">
        <v>990</v>
      </c>
      <c r="T35" s="46" t="s">
        <v>759</v>
      </c>
    </row>
    <row r="36">
      <c r="A36" s="46" t="s">
        <v>991</v>
      </c>
      <c r="B36" s="46" t="s">
        <v>963</v>
      </c>
      <c r="C36" s="46" t="s">
        <v>992</v>
      </c>
      <c r="D36" s="46">
        <v>29.0</v>
      </c>
      <c r="E36" s="46" t="s">
        <v>57</v>
      </c>
      <c r="F36" s="40" t="s">
        <v>730</v>
      </c>
      <c r="G36" s="46">
        <v>5.0</v>
      </c>
      <c r="H36" s="46" t="s">
        <v>822</v>
      </c>
      <c r="I36" s="46" t="s">
        <v>659</v>
      </c>
      <c r="J36" s="46" t="s">
        <v>918</v>
      </c>
      <c r="K36" s="47">
        <v>0.88</v>
      </c>
      <c r="L36" s="46" t="s">
        <v>659</v>
      </c>
      <c r="M36" s="48" t="s">
        <v>993</v>
      </c>
      <c r="N36" s="46" t="s">
        <v>994</v>
      </c>
      <c r="O36" s="46">
        <v>175.0</v>
      </c>
      <c r="P36" s="49">
        <v>46207.0</v>
      </c>
      <c r="Q36" s="50" t="s">
        <v>995</v>
      </c>
      <c r="R36" s="50" t="s">
        <v>996</v>
      </c>
      <c r="S36" s="50" t="s">
        <v>997</v>
      </c>
      <c r="T36" s="46" t="s">
        <v>718</v>
      </c>
    </row>
    <row r="37">
      <c r="A37" s="46" t="s">
        <v>998</v>
      </c>
      <c r="B37" s="46" t="s">
        <v>963</v>
      </c>
      <c r="C37" s="46" t="s">
        <v>999</v>
      </c>
      <c r="D37" s="46">
        <v>35.0</v>
      </c>
      <c r="E37" s="46" t="s">
        <v>99</v>
      </c>
      <c r="F37" s="40" t="s">
        <v>730</v>
      </c>
      <c r="G37" s="46">
        <v>11.0</v>
      </c>
      <c r="H37" s="46" t="s">
        <v>721</v>
      </c>
      <c r="I37" s="46" t="s">
        <v>659</v>
      </c>
      <c r="J37" s="46" t="s">
        <v>926</v>
      </c>
      <c r="K37" s="47">
        <v>0.95</v>
      </c>
      <c r="L37" s="46" t="s">
        <v>659</v>
      </c>
      <c r="M37" s="46" t="s">
        <v>1000</v>
      </c>
      <c r="N37" s="46" t="s">
        <v>1001</v>
      </c>
      <c r="O37" s="46">
        <v>420.0</v>
      </c>
      <c r="P37" s="49">
        <v>46269.0</v>
      </c>
      <c r="Q37" s="50" t="s">
        <v>1002</v>
      </c>
      <c r="R37" s="50" t="s">
        <v>1003</v>
      </c>
      <c r="S37" s="50" t="s">
        <v>1004</v>
      </c>
      <c r="T37" s="46" t="s">
        <v>718</v>
      </c>
    </row>
    <row r="38">
      <c r="A38" s="46" t="s">
        <v>1005</v>
      </c>
      <c r="B38" s="46" t="s">
        <v>963</v>
      </c>
      <c r="C38" s="46" t="s">
        <v>1006</v>
      </c>
      <c r="D38" s="46">
        <v>25.0</v>
      </c>
      <c r="E38" s="46" t="s">
        <v>232</v>
      </c>
      <c r="F38" s="40" t="s">
        <v>730</v>
      </c>
      <c r="G38" s="46">
        <v>3.0</v>
      </c>
      <c r="H38" s="46" t="s">
        <v>788</v>
      </c>
      <c r="I38" s="46" t="s">
        <v>646</v>
      </c>
      <c r="J38" s="46" t="s">
        <v>832</v>
      </c>
      <c r="K38" s="47">
        <v>0.76</v>
      </c>
      <c r="L38" s="46" t="s">
        <v>646</v>
      </c>
      <c r="M38" s="48" t="s">
        <v>1007</v>
      </c>
      <c r="N38" s="46" t="s">
        <v>1008</v>
      </c>
      <c r="O38" s="46">
        <v>58.0</v>
      </c>
      <c r="P38" s="49">
        <v>46085.0</v>
      </c>
      <c r="Q38" s="50" t="s">
        <v>1009</v>
      </c>
      <c r="R38" s="50" t="s">
        <v>1010</v>
      </c>
      <c r="S38" s="50" t="s">
        <v>1011</v>
      </c>
      <c r="T38" s="46" t="s">
        <v>739</v>
      </c>
    </row>
    <row r="39">
      <c r="A39" s="46" t="s">
        <v>1012</v>
      </c>
      <c r="B39" s="46" t="s">
        <v>963</v>
      </c>
      <c r="C39" s="46" t="s">
        <v>1013</v>
      </c>
      <c r="D39" s="46">
        <v>31.0</v>
      </c>
      <c r="E39" s="46" t="s">
        <v>1014</v>
      </c>
      <c r="F39" s="40" t="s">
        <v>730</v>
      </c>
      <c r="G39" s="46">
        <v>7.0</v>
      </c>
      <c r="H39" s="46" t="s">
        <v>848</v>
      </c>
      <c r="I39" s="46" t="s">
        <v>659</v>
      </c>
      <c r="J39" s="46" t="s">
        <v>772</v>
      </c>
      <c r="K39" s="47">
        <v>0.9</v>
      </c>
      <c r="L39" s="46" t="s">
        <v>659</v>
      </c>
      <c r="M39" s="48" t="s">
        <v>1015</v>
      </c>
      <c r="N39" s="46" t="s">
        <v>1016</v>
      </c>
      <c r="O39" s="46">
        <v>310.0</v>
      </c>
      <c r="P39" s="49">
        <v>46238.0</v>
      </c>
      <c r="Q39" s="50" t="s">
        <v>1017</v>
      </c>
      <c r="R39" s="50" t="s">
        <v>1018</v>
      </c>
      <c r="S39" s="50" t="s">
        <v>1019</v>
      </c>
      <c r="T39" s="46" t="s">
        <v>718</v>
      </c>
    </row>
    <row r="40">
      <c r="A40" s="46" t="s">
        <v>1020</v>
      </c>
      <c r="B40" s="46" t="s">
        <v>963</v>
      </c>
      <c r="C40" s="46" t="s">
        <v>1021</v>
      </c>
      <c r="D40" s="46">
        <v>23.0</v>
      </c>
      <c r="E40" s="46" t="s">
        <v>1022</v>
      </c>
      <c r="F40" s="40" t="s">
        <v>730</v>
      </c>
      <c r="G40" s="46">
        <v>2.0</v>
      </c>
      <c r="H40" s="46" t="s">
        <v>864</v>
      </c>
      <c r="I40" s="46" t="s">
        <v>732</v>
      </c>
      <c r="J40" s="46" t="s">
        <v>832</v>
      </c>
      <c r="K40" s="47">
        <v>0.65</v>
      </c>
      <c r="L40" s="46" t="s">
        <v>646</v>
      </c>
      <c r="M40" s="48" t="s">
        <v>1023</v>
      </c>
      <c r="N40" s="46" t="s">
        <v>1024</v>
      </c>
      <c r="O40" s="46">
        <v>22.0</v>
      </c>
      <c r="P40" s="49">
        <v>46026.0</v>
      </c>
      <c r="Q40" s="50" t="s">
        <v>1025</v>
      </c>
      <c r="R40" s="50" t="s">
        <v>1026</v>
      </c>
      <c r="S40" s="50" t="s">
        <v>1027</v>
      </c>
      <c r="T40" s="46" t="s">
        <v>739</v>
      </c>
    </row>
    <row r="41">
      <c r="A41" s="46" t="s">
        <v>1028</v>
      </c>
      <c r="B41" s="46" t="s">
        <v>963</v>
      </c>
      <c r="C41" s="46" t="s">
        <v>1029</v>
      </c>
      <c r="D41" s="46">
        <v>38.0</v>
      </c>
      <c r="E41" s="46" t="s">
        <v>77</v>
      </c>
      <c r="F41" s="40" t="s">
        <v>730</v>
      </c>
      <c r="G41" s="46">
        <v>15.0</v>
      </c>
      <c r="H41" s="46" t="s">
        <v>1030</v>
      </c>
      <c r="I41" s="46" t="s">
        <v>659</v>
      </c>
      <c r="J41" s="46" t="s">
        <v>722</v>
      </c>
      <c r="K41" s="47">
        <v>0.98</v>
      </c>
      <c r="L41" s="46" t="s">
        <v>659</v>
      </c>
      <c r="M41" s="48" t="s">
        <v>1031</v>
      </c>
      <c r="N41" s="46" t="s">
        <v>1032</v>
      </c>
      <c r="O41" s="46">
        <v>710.0</v>
      </c>
      <c r="P41" s="46" t="s">
        <v>801</v>
      </c>
      <c r="Q41" s="50" t="s">
        <v>1033</v>
      </c>
      <c r="R41" s="50" t="s">
        <v>1034</v>
      </c>
      <c r="S41" s="50" t="s">
        <v>1035</v>
      </c>
      <c r="T41" s="46" t="s">
        <v>718</v>
      </c>
    </row>
    <row r="42">
      <c r="A42" s="46" t="s">
        <v>1036</v>
      </c>
      <c r="B42" s="46" t="s">
        <v>1037</v>
      </c>
      <c r="C42" s="46" t="s">
        <v>1038</v>
      </c>
      <c r="D42" s="46">
        <v>29.0</v>
      </c>
      <c r="E42" s="46" t="s">
        <v>44</v>
      </c>
      <c r="F42" s="40" t="s">
        <v>730</v>
      </c>
      <c r="G42" s="46">
        <v>5.0</v>
      </c>
      <c r="H42" s="46" t="s">
        <v>848</v>
      </c>
      <c r="I42" s="46" t="s">
        <v>659</v>
      </c>
      <c r="J42" s="46" t="s">
        <v>722</v>
      </c>
      <c r="K42" s="47">
        <v>0.9</v>
      </c>
      <c r="L42" s="46" t="s">
        <v>659</v>
      </c>
      <c r="M42" s="46" t="s">
        <v>1039</v>
      </c>
      <c r="N42" s="46" t="s">
        <v>1040</v>
      </c>
      <c r="O42" s="46">
        <v>210.0</v>
      </c>
      <c r="P42" s="49">
        <v>46238.0</v>
      </c>
      <c r="Q42" s="50" t="s">
        <v>1041</v>
      </c>
      <c r="R42" s="50" t="s">
        <v>1042</v>
      </c>
      <c r="S42" s="50" t="s">
        <v>1043</v>
      </c>
      <c r="T42" s="46" t="s">
        <v>718</v>
      </c>
    </row>
    <row r="43">
      <c r="A43" s="46" t="s">
        <v>1044</v>
      </c>
      <c r="B43" s="46" t="s">
        <v>1037</v>
      </c>
      <c r="C43" s="46" t="s">
        <v>1045</v>
      </c>
      <c r="D43" s="46">
        <v>34.0</v>
      </c>
      <c r="E43" s="46" t="s">
        <v>147</v>
      </c>
      <c r="F43" s="40" t="s">
        <v>730</v>
      </c>
      <c r="G43" s="46">
        <v>9.0</v>
      </c>
      <c r="H43" s="46" t="s">
        <v>956</v>
      </c>
      <c r="I43" s="46" t="s">
        <v>659</v>
      </c>
      <c r="J43" s="46" t="s">
        <v>926</v>
      </c>
      <c r="K43" s="47">
        <v>0.95</v>
      </c>
      <c r="L43" s="46" t="s">
        <v>659</v>
      </c>
      <c r="M43" s="48" t="s">
        <v>1046</v>
      </c>
      <c r="N43" s="46" t="s">
        <v>1047</v>
      </c>
      <c r="O43" s="46">
        <v>430.0</v>
      </c>
      <c r="P43" s="49">
        <v>46269.0</v>
      </c>
      <c r="Q43" s="50" t="s">
        <v>1048</v>
      </c>
      <c r="R43" s="50" t="s">
        <v>1049</v>
      </c>
      <c r="S43" s="50" t="s">
        <v>1050</v>
      </c>
      <c r="T43" s="46" t="s">
        <v>718</v>
      </c>
    </row>
    <row r="44">
      <c r="A44" s="46" t="s">
        <v>1051</v>
      </c>
      <c r="B44" s="46" t="s">
        <v>1037</v>
      </c>
      <c r="C44" s="46" t="s">
        <v>1052</v>
      </c>
      <c r="D44" s="46">
        <v>24.0</v>
      </c>
      <c r="E44" s="46" t="s">
        <v>232</v>
      </c>
      <c r="F44" s="40" t="s">
        <v>730</v>
      </c>
      <c r="G44" s="46">
        <v>2.0</v>
      </c>
      <c r="H44" s="46" t="s">
        <v>807</v>
      </c>
      <c r="I44" s="46" t="s">
        <v>646</v>
      </c>
      <c r="J44" s="46" t="s">
        <v>789</v>
      </c>
      <c r="K44" s="47">
        <v>0.72</v>
      </c>
      <c r="L44" s="46" t="s">
        <v>646</v>
      </c>
      <c r="M44" s="48" t="s">
        <v>1053</v>
      </c>
      <c r="N44" s="46" t="s">
        <v>1054</v>
      </c>
      <c r="O44" s="46">
        <v>41.0</v>
      </c>
      <c r="P44" s="49">
        <v>46057.0</v>
      </c>
      <c r="Q44" s="50" t="s">
        <v>1055</v>
      </c>
      <c r="R44" s="50" t="s">
        <v>1056</v>
      </c>
      <c r="S44" s="50" t="s">
        <v>1057</v>
      </c>
      <c r="T44" s="46" t="s">
        <v>739</v>
      </c>
    </row>
    <row r="45">
      <c r="A45" s="46" t="s">
        <v>1058</v>
      </c>
      <c r="B45" s="46" t="s">
        <v>1037</v>
      </c>
      <c r="C45" s="46" t="s">
        <v>1059</v>
      </c>
      <c r="D45" s="46">
        <v>38.0</v>
      </c>
      <c r="E45" s="46" t="s">
        <v>44</v>
      </c>
      <c r="F45" s="40" t="s">
        <v>710</v>
      </c>
      <c r="G45" s="46">
        <v>14.0</v>
      </c>
      <c r="H45" s="46" t="s">
        <v>1030</v>
      </c>
      <c r="I45" s="46" t="s">
        <v>659</v>
      </c>
      <c r="J45" s="46" t="s">
        <v>722</v>
      </c>
      <c r="K45" s="47">
        <v>0.97</v>
      </c>
      <c r="L45" s="46" t="s">
        <v>659</v>
      </c>
      <c r="M45" s="46" t="s">
        <v>1060</v>
      </c>
      <c r="N45" s="46" t="s">
        <v>1061</v>
      </c>
      <c r="O45" s="46">
        <v>620.0</v>
      </c>
      <c r="P45" s="46" t="s">
        <v>801</v>
      </c>
      <c r="Q45" s="50" t="s">
        <v>1062</v>
      </c>
      <c r="R45" s="50" t="s">
        <v>1063</v>
      </c>
      <c r="S45" s="50" t="s">
        <v>1064</v>
      </c>
      <c r="T45" s="46" t="s">
        <v>718</v>
      </c>
    </row>
    <row r="46">
      <c r="A46" s="46" t="s">
        <v>1065</v>
      </c>
      <c r="B46" s="46" t="s">
        <v>1037</v>
      </c>
      <c r="C46" s="46" t="s">
        <v>830</v>
      </c>
      <c r="D46" s="46">
        <v>27.0</v>
      </c>
      <c r="E46" s="46" t="s">
        <v>57</v>
      </c>
      <c r="F46" s="40" t="s">
        <v>730</v>
      </c>
      <c r="G46" s="46">
        <v>4.0</v>
      </c>
      <c r="H46" s="46" t="s">
        <v>941</v>
      </c>
      <c r="I46" s="46" t="s">
        <v>646</v>
      </c>
      <c r="J46" s="46" t="s">
        <v>918</v>
      </c>
      <c r="K46" s="47">
        <v>0.81</v>
      </c>
      <c r="L46" s="46" t="s">
        <v>659</v>
      </c>
      <c r="M46" s="48" t="s">
        <v>1066</v>
      </c>
      <c r="N46" s="46" t="s">
        <v>1067</v>
      </c>
      <c r="O46" s="46">
        <v>88.0</v>
      </c>
      <c r="P46" s="49">
        <v>46146.0</v>
      </c>
      <c r="Q46" s="50" t="s">
        <v>1068</v>
      </c>
      <c r="R46" s="50" t="s">
        <v>1069</v>
      </c>
      <c r="S46" s="50" t="s">
        <v>1070</v>
      </c>
      <c r="T46" s="46" t="s">
        <v>718</v>
      </c>
    </row>
    <row r="47">
      <c r="A47" s="46" t="s">
        <v>1071</v>
      </c>
      <c r="B47" s="46" t="s">
        <v>1037</v>
      </c>
      <c r="C47" s="46" t="s">
        <v>1072</v>
      </c>
      <c r="D47" s="46">
        <v>22.0</v>
      </c>
      <c r="E47" s="46" t="s">
        <v>108</v>
      </c>
      <c r="F47" s="40" t="s">
        <v>730</v>
      </c>
      <c r="G47" s="46">
        <v>1.0</v>
      </c>
      <c r="H47" s="46" t="s">
        <v>751</v>
      </c>
      <c r="I47" s="46" t="s">
        <v>732</v>
      </c>
      <c r="J47" s="46" t="s">
        <v>752</v>
      </c>
      <c r="K47" s="47">
        <v>0.58</v>
      </c>
      <c r="L47" s="46" t="s">
        <v>753</v>
      </c>
      <c r="M47" s="48" t="s">
        <v>1073</v>
      </c>
      <c r="N47" s="46" t="s">
        <v>1074</v>
      </c>
      <c r="O47" s="46">
        <v>13.0</v>
      </c>
      <c r="P47" s="49">
        <v>46268.0</v>
      </c>
      <c r="Q47" s="50" t="s">
        <v>1075</v>
      </c>
      <c r="R47" s="50" t="s">
        <v>1076</v>
      </c>
      <c r="S47" s="50" t="s">
        <v>1077</v>
      </c>
      <c r="T47" s="46" t="s">
        <v>759</v>
      </c>
    </row>
    <row r="48">
      <c r="A48" s="46" t="s">
        <v>1078</v>
      </c>
      <c r="B48" s="46" t="s">
        <v>1037</v>
      </c>
      <c r="C48" s="46" t="s">
        <v>1079</v>
      </c>
      <c r="D48" s="46">
        <v>31.0</v>
      </c>
      <c r="E48" s="46" t="s">
        <v>170</v>
      </c>
      <c r="F48" s="40" t="s">
        <v>730</v>
      </c>
      <c r="G48" s="46">
        <v>7.0</v>
      </c>
      <c r="H48" s="46" t="s">
        <v>1080</v>
      </c>
      <c r="I48" s="46" t="s">
        <v>659</v>
      </c>
      <c r="J48" s="46" t="s">
        <v>926</v>
      </c>
      <c r="K48" s="47">
        <v>0.93</v>
      </c>
      <c r="L48" s="46" t="s">
        <v>659</v>
      </c>
      <c r="M48" s="46" t="s">
        <v>1081</v>
      </c>
      <c r="N48" s="46" t="s">
        <v>1082</v>
      </c>
      <c r="O48" s="46">
        <v>355.0</v>
      </c>
      <c r="P48" s="49">
        <v>46269.0</v>
      </c>
      <c r="Q48" s="50" t="s">
        <v>1083</v>
      </c>
      <c r="R48" s="50" t="s">
        <v>1084</v>
      </c>
      <c r="S48" s="50" t="s">
        <v>1085</v>
      </c>
      <c r="T48" s="46" t="s">
        <v>718</v>
      </c>
    </row>
    <row r="49">
      <c r="A49" s="46" t="s">
        <v>1086</v>
      </c>
      <c r="B49" s="46" t="s">
        <v>1037</v>
      </c>
      <c r="C49" s="46" t="s">
        <v>1087</v>
      </c>
      <c r="D49" s="46">
        <v>26.0</v>
      </c>
      <c r="E49" s="46" t="s">
        <v>1014</v>
      </c>
      <c r="F49" s="40" t="s">
        <v>730</v>
      </c>
      <c r="G49" s="46">
        <v>3.0</v>
      </c>
      <c r="H49" s="46" t="s">
        <v>771</v>
      </c>
      <c r="I49" s="46" t="s">
        <v>646</v>
      </c>
      <c r="J49" s="46" t="s">
        <v>832</v>
      </c>
      <c r="K49" s="47">
        <v>0.77</v>
      </c>
      <c r="L49" s="46" t="s">
        <v>646</v>
      </c>
      <c r="M49" s="48" t="s">
        <v>1088</v>
      </c>
      <c r="N49" s="46" t="s">
        <v>1089</v>
      </c>
      <c r="O49" s="46">
        <v>59.0</v>
      </c>
      <c r="P49" s="49">
        <v>46085.0</v>
      </c>
      <c r="Q49" s="50" t="s">
        <v>1090</v>
      </c>
      <c r="R49" s="50" t="s">
        <v>1091</v>
      </c>
      <c r="S49" s="50" t="s">
        <v>777</v>
      </c>
      <c r="T49" s="46" t="s">
        <v>739</v>
      </c>
    </row>
    <row r="50">
      <c r="A50" s="46" t="s">
        <v>1092</v>
      </c>
      <c r="B50" s="46" t="s">
        <v>1037</v>
      </c>
      <c r="C50" s="46" t="s">
        <v>1093</v>
      </c>
      <c r="D50" s="46">
        <v>35.0</v>
      </c>
      <c r="E50" s="46" t="s">
        <v>99</v>
      </c>
      <c r="F50" s="40" t="s">
        <v>730</v>
      </c>
      <c r="G50" s="46">
        <v>11.0</v>
      </c>
      <c r="H50" s="46" t="s">
        <v>956</v>
      </c>
      <c r="I50" s="46" t="s">
        <v>659</v>
      </c>
      <c r="J50" s="46" t="s">
        <v>722</v>
      </c>
      <c r="K50" s="47">
        <v>0.96</v>
      </c>
      <c r="L50" s="46" t="s">
        <v>659</v>
      </c>
      <c r="M50" s="48" t="s">
        <v>1094</v>
      </c>
      <c r="N50" s="46" t="s">
        <v>1095</v>
      </c>
      <c r="O50" s="46">
        <v>510.0</v>
      </c>
      <c r="P50" s="49">
        <v>46269.0</v>
      </c>
      <c r="Q50" s="50" t="s">
        <v>1096</v>
      </c>
      <c r="R50" s="50" t="s">
        <v>1097</v>
      </c>
      <c r="S50" s="50" t="s">
        <v>1098</v>
      </c>
      <c r="T50" s="46" t="s">
        <v>718</v>
      </c>
    </row>
    <row r="51">
      <c r="A51" s="46" t="s">
        <v>1099</v>
      </c>
      <c r="B51" s="46" t="s">
        <v>1037</v>
      </c>
      <c r="C51" s="46" t="s">
        <v>1100</v>
      </c>
      <c r="D51" s="46">
        <v>28.0</v>
      </c>
      <c r="E51" s="46" t="s">
        <v>1022</v>
      </c>
      <c r="F51" s="40" t="s">
        <v>730</v>
      </c>
      <c r="G51" s="46">
        <v>4.0</v>
      </c>
      <c r="H51" s="46" t="s">
        <v>856</v>
      </c>
      <c r="I51" s="46" t="s">
        <v>646</v>
      </c>
      <c r="J51" s="46" t="s">
        <v>918</v>
      </c>
      <c r="K51" s="47">
        <v>0.83</v>
      </c>
      <c r="L51" s="46" t="s">
        <v>659</v>
      </c>
      <c r="M51" s="48" t="s">
        <v>1101</v>
      </c>
      <c r="N51" s="46" t="s">
        <v>1102</v>
      </c>
      <c r="O51" s="46">
        <v>102.0</v>
      </c>
      <c r="P51" s="49">
        <v>46146.0</v>
      </c>
      <c r="Q51" s="50" t="s">
        <v>1103</v>
      </c>
      <c r="R51" s="50" t="s">
        <v>1104</v>
      </c>
      <c r="S51" s="50" t="s">
        <v>1105</v>
      </c>
      <c r="T51" s="46" t="s">
        <v>718</v>
      </c>
    </row>
    <row r="52">
      <c r="A52" s="46" t="s">
        <v>1106</v>
      </c>
      <c r="B52" s="46" t="s">
        <v>1107</v>
      </c>
      <c r="C52" s="46" t="s">
        <v>1108</v>
      </c>
      <c r="D52" s="46">
        <v>26.0</v>
      </c>
      <c r="E52" s="46" t="s">
        <v>44</v>
      </c>
      <c r="F52" s="46" t="s">
        <v>710</v>
      </c>
      <c r="G52" s="46">
        <v>3.0</v>
      </c>
      <c r="H52" s="46" t="s">
        <v>903</v>
      </c>
      <c r="I52" s="46" t="s">
        <v>659</v>
      </c>
      <c r="J52" s="46" t="s">
        <v>926</v>
      </c>
      <c r="K52" s="47">
        <v>0.88</v>
      </c>
      <c r="L52" s="46" t="s">
        <v>659</v>
      </c>
      <c r="M52" s="48" t="s">
        <v>1109</v>
      </c>
      <c r="N52" s="46" t="s">
        <v>1110</v>
      </c>
      <c r="O52" s="46">
        <v>144.0</v>
      </c>
      <c r="P52" s="49">
        <v>46207.0</v>
      </c>
      <c r="Q52" s="50" t="s">
        <v>1111</v>
      </c>
      <c r="R52" s="50" t="s">
        <v>1112</v>
      </c>
      <c r="S52" s="50" t="s">
        <v>1113</v>
      </c>
      <c r="T52" s="46" t="s">
        <v>718</v>
      </c>
    </row>
    <row r="53">
      <c r="A53" s="46" t="s">
        <v>1114</v>
      </c>
      <c r="B53" s="46" t="s">
        <v>1107</v>
      </c>
      <c r="C53" s="46" t="s">
        <v>1115</v>
      </c>
      <c r="D53" s="46">
        <v>34.0</v>
      </c>
      <c r="E53" s="46" t="s">
        <v>147</v>
      </c>
      <c r="F53" s="46" t="s">
        <v>710</v>
      </c>
      <c r="G53" s="46">
        <v>9.0</v>
      </c>
      <c r="H53" s="46" t="s">
        <v>1116</v>
      </c>
      <c r="I53" s="46" t="s">
        <v>659</v>
      </c>
      <c r="J53" s="46" t="s">
        <v>722</v>
      </c>
      <c r="K53" s="47">
        <v>0.96</v>
      </c>
      <c r="L53" s="46" t="s">
        <v>659</v>
      </c>
      <c r="M53" s="48" t="s">
        <v>1117</v>
      </c>
      <c r="N53" s="46" t="s">
        <v>1118</v>
      </c>
      <c r="O53" s="46">
        <v>620.0</v>
      </c>
      <c r="P53" s="49">
        <v>46269.0</v>
      </c>
      <c r="Q53" s="50" t="s">
        <v>1119</v>
      </c>
      <c r="R53" s="50" t="s">
        <v>1120</v>
      </c>
      <c r="S53" s="50" t="s">
        <v>1121</v>
      </c>
      <c r="T53" s="46" t="s">
        <v>718</v>
      </c>
    </row>
    <row r="54">
      <c r="A54" s="46" t="s">
        <v>1122</v>
      </c>
      <c r="B54" s="46" t="s">
        <v>1107</v>
      </c>
      <c r="C54" s="46" t="s">
        <v>1123</v>
      </c>
      <c r="D54" s="46">
        <v>22.0</v>
      </c>
      <c r="E54" s="46" t="s">
        <v>44</v>
      </c>
      <c r="F54" s="46" t="s">
        <v>710</v>
      </c>
      <c r="G54" s="46">
        <v>1.0</v>
      </c>
      <c r="H54" s="46" t="s">
        <v>788</v>
      </c>
      <c r="I54" s="46" t="s">
        <v>646</v>
      </c>
      <c r="J54" s="46" t="s">
        <v>789</v>
      </c>
      <c r="K54" s="47">
        <v>0.62</v>
      </c>
      <c r="L54" s="46" t="s">
        <v>646</v>
      </c>
      <c r="M54" s="48" t="s">
        <v>1124</v>
      </c>
      <c r="N54" s="46" t="s">
        <v>1125</v>
      </c>
      <c r="O54" s="46">
        <v>21.0</v>
      </c>
      <c r="P54" s="49">
        <v>46026.0</v>
      </c>
      <c r="Q54" s="50" t="s">
        <v>1126</v>
      </c>
      <c r="R54" s="50" t="s">
        <v>1127</v>
      </c>
      <c r="S54" s="50" t="s">
        <v>1128</v>
      </c>
      <c r="T54" s="46" t="s">
        <v>739</v>
      </c>
    </row>
    <row r="55">
      <c r="A55" s="46" t="s">
        <v>1129</v>
      </c>
      <c r="B55" s="46" t="s">
        <v>1107</v>
      </c>
      <c r="C55" s="46" t="s">
        <v>1130</v>
      </c>
      <c r="D55" s="46">
        <v>29.0</v>
      </c>
      <c r="E55" s="46" t="s">
        <v>44</v>
      </c>
      <c r="F55" s="46" t="s">
        <v>710</v>
      </c>
      <c r="G55" s="46">
        <v>5.0</v>
      </c>
      <c r="H55" s="46" t="s">
        <v>956</v>
      </c>
      <c r="I55" s="46" t="s">
        <v>659</v>
      </c>
      <c r="J55" s="46" t="s">
        <v>772</v>
      </c>
      <c r="K55" s="47">
        <v>0.9</v>
      </c>
      <c r="L55" s="46" t="s">
        <v>659</v>
      </c>
      <c r="M55" s="48" t="s">
        <v>1131</v>
      </c>
      <c r="N55" s="46" t="s">
        <v>1132</v>
      </c>
      <c r="O55" s="46">
        <v>210.0</v>
      </c>
      <c r="P55" s="49">
        <v>46238.0</v>
      </c>
      <c r="Q55" s="50" t="s">
        <v>1133</v>
      </c>
      <c r="R55" s="50" t="s">
        <v>1134</v>
      </c>
      <c r="S55" s="50" t="s">
        <v>1135</v>
      </c>
      <c r="T55" s="46" t="s">
        <v>718</v>
      </c>
    </row>
    <row r="56">
      <c r="A56" s="46" t="s">
        <v>1136</v>
      </c>
      <c r="B56" s="46" t="s">
        <v>1107</v>
      </c>
      <c r="C56" s="46" t="s">
        <v>1059</v>
      </c>
      <c r="D56" s="46">
        <v>41.0</v>
      </c>
      <c r="E56" s="46" t="s">
        <v>57</v>
      </c>
      <c r="F56" s="46" t="s">
        <v>710</v>
      </c>
      <c r="G56" s="46">
        <v>15.0</v>
      </c>
      <c r="H56" s="46" t="s">
        <v>1137</v>
      </c>
      <c r="I56" s="46" t="s">
        <v>659</v>
      </c>
      <c r="J56" s="46" t="s">
        <v>926</v>
      </c>
      <c r="K56" s="47">
        <v>0.98</v>
      </c>
      <c r="L56" s="46" t="s">
        <v>659</v>
      </c>
      <c r="M56" s="48" t="s">
        <v>1138</v>
      </c>
      <c r="N56" s="46" t="s">
        <v>1139</v>
      </c>
      <c r="O56" s="46">
        <v>820.0</v>
      </c>
      <c r="P56" s="46" t="s">
        <v>801</v>
      </c>
      <c r="Q56" s="50" t="s">
        <v>1140</v>
      </c>
      <c r="R56" s="50" t="s">
        <v>1141</v>
      </c>
      <c r="S56" s="50" t="s">
        <v>1142</v>
      </c>
      <c r="T56" s="46" t="s">
        <v>718</v>
      </c>
    </row>
    <row r="57">
      <c r="A57" s="46" t="s">
        <v>1143</v>
      </c>
      <c r="B57" s="46" t="s">
        <v>1107</v>
      </c>
      <c r="C57" s="46" t="s">
        <v>750</v>
      </c>
      <c r="D57" s="46">
        <v>24.0</v>
      </c>
      <c r="E57" s="46" t="s">
        <v>232</v>
      </c>
      <c r="F57" s="46" t="s">
        <v>710</v>
      </c>
      <c r="G57" s="46">
        <v>2.0</v>
      </c>
      <c r="H57" s="46" t="s">
        <v>822</v>
      </c>
      <c r="I57" s="46" t="s">
        <v>646</v>
      </c>
      <c r="J57" s="46" t="s">
        <v>832</v>
      </c>
      <c r="K57" s="47">
        <v>0.7</v>
      </c>
      <c r="L57" s="46" t="s">
        <v>646</v>
      </c>
      <c r="M57" s="48" t="s">
        <v>1144</v>
      </c>
      <c r="N57" s="46" t="s">
        <v>1145</v>
      </c>
      <c r="O57" s="46">
        <v>48.0</v>
      </c>
      <c r="P57" s="49">
        <v>46057.0</v>
      </c>
      <c r="Q57" s="50" t="s">
        <v>1146</v>
      </c>
      <c r="R57" s="50" t="s">
        <v>1147</v>
      </c>
      <c r="S57" s="50" t="s">
        <v>1148</v>
      </c>
      <c r="T57" s="46" t="s">
        <v>739</v>
      </c>
    </row>
    <row r="58">
      <c r="A58" s="46" t="s">
        <v>1149</v>
      </c>
      <c r="B58" s="46" t="s">
        <v>1107</v>
      </c>
      <c r="C58" s="46" t="s">
        <v>1150</v>
      </c>
      <c r="D58" s="46">
        <v>28.0</v>
      </c>
      <c r="E58" s="46" t="s">
        <v>108</v>
      </c>
      <c r="F58" s="46" t="s">
        <v>710</v>
      </c>
      <c r="G58" s="46">
        <v>4.0</v>
      </c>
      <c r="H58" s="46" t="s">
        <v>1151</v>
      </c>
      <c r="I58" s="46" t="s">
        <v>659</v>
      </c>
      <c r="J58" s="46" t="s">
        <v>772</v>
      </c>
      <c r="K58" s="47">
        <v>0.85</v>
      </c>
      <c r="L58" s="46" t="s">
        <v>659</v>
      </c>
      <c r="M58" s="48" t="s">
        <v>1152</v>
      </c>
      <c r="N58" s="46" t="s">
        <v>1153</v>
      </c>
      <c r="O58" s="46">
        <v>132.0</v>
      </c>
      <c r="P58" s="49">
        <v>46177.0</v>
      </c>
      <c r="Q58" s="50" t="s">
        <v>1154</v>
      </c>
      <c r="R58" s="50" t="s">
        <v>1155</v>
      </c>
      <c r="S58" s="50" t="s">
        <v>1156</v>
      </c>
      <c r="T58" s="46" t="s">
        <v>718</v>
      </c>
    </row>
    <row r="59">
      <c r="A59" s="46" t="s">
        <v>1157</v>
      </c>
      <c r="B59" s="46" t="s">
        <v>1107</v>
      </c>
      <c r="C59" s="46" t="s">
        <v>1158</v>
      </c>
      <c r="D59" s="46">
        <v>36.0</v>
      </c>
      <c r="E59" s="46" t="s">
        <v>44</v>
      </c>
      <c r="F59" s="46" t="s">
        <v>710</v>
      </c>
      <c r="G59" s="46">
        <v>11.0</v>
      </c>
      <c r="H59" s="46" t="s">
        <v>1159</v>
      </c>
      <c r="I59" s="46" t="s">
        <v>659</v>
      </c>
      <c r="J59" s="46" t="s">
        <v>722</v>
      </c>
      <c r="K59" s="47">
        <v>0.97</v>
      </c>
      <c r="L59" s="46" t="s">
        <v>659</v>
      </c>
      <c r="M59" s="48" t="s">
        <v>1160</v>
      </c>
      <c r="N59" s="46" t="s">
        <v>1161</v>
      </c>
      <c r="O59" s="46">
        <v>740.0</v>
      </c>
      <c r="P59" s="49">
        <v>46269.0</v>
      </c>
      <c r="Q59" s="50" t="s">
        <v>1162</v>
      </c>
      <c r="R59" s="50" t="s">
        <v>1163</v>
      </c>
      <c r="S59" s="50" t="s">
        <v>1164</v>
      </c>
      <c r="T59" s="46" t="s">
        <v>718</v>
      </c>
    </row>
    <row r="60">
      <c r="A60" s="46" t="s">
        <v>1165</v>
      </c>
      <c r="B60" s="46" t="s">
        <v>1107</v>
      </c>
      <c r="C60" s="46" t="s">
        <v>1087</v>
      </c>
      <c r="D60" s="46">
        <v>25.0</v>
      </c>
      <c r="E60" s="46" t="s">
        <v>170</v>
      </c>
      <c r="F60" s="46" t="s">
        <v>710</v>
      </c>
      <c r="G60" s="46">
        <v>3.0</v>
      </c>
      <c r="H60" s="46" t="s">
        <v>848</v>
      </c>
      <c r="I60" s="46" t="s">
        <v>646</v>
      </c>
      <c r="J60" s="46" t="s">
        <v>789</v>
      </c>
      <c r="K60" s="47">
        <v>0.78</v>
      </c>
      <c r="L60" s="46" t="s">
        <v>646</v>
      </c>
      <c r="M60" s="48" t="s">
        <v>1166</v>
      </c>
      <c r="N60" s="46" t="s">
        <v>1167</v>
      </c>
      <c r="O60" s="46">
        <v>69.0</v>
      </c>
      <c r="P60" s="49">
        <v>46085.0</v>
      </c>
      <c r="Q60" s="50" t="s">
        <v>1168</v>
      </c>
      <c r="R60" s="50" t="s">
        <v>1169</v>
      </c>
      <c r="S60" s="50" t="s">
        <v>1170</v>
      </c>
      <c r="T60" s="46" t="s">
        <v>739</v>
      </c>
    </row>
    <row r="61">
      <c r="A61" s="46" t="s">
        <v>1171</v>
      </c>
      <c r="B61" s="46" t="s">
        <v>1107</v>
      </c>
      <c r="C61" s="46" t="s">
        <v>871</v>
      </c>
      <c r="D61" s="46">
        <v>31.0</v>
      </c>
      <c r="E61" s="46" t="s">
        <v>77</v>
      </c>
      <c r="F61" s="46" t="s">
        <v>710</v>
      </c>
      <c r="G61" s="46">
        <v>7.0</v>
      </c>
      <c r="H61" s="46" t="s">
        <v>1172</v>
      </c>
      <c r="I61" s="46" t="s">
        <v>659</v>
      </c>
      <c r="J61" s="46" t="s">
        <v>772</v>
      </c>
      <c r="K61" s="47">
        <v>0.92</v>
      </c>
      <c r="L61" s="46" t="s">
        <v>659</v>
      </c>
      <c r="M61" s="48" t="s">
        <v>1173</v>
      </c>
      <c r="N61" s="46" t="s">
        <v>1174</v>
      </c>
      <c r="O61" s="46">
        <v>390.0</v>
      </c>
      <c r="P61" s="49">
        <v>46238.0</v>
      </c>
      <c r="Q61" s="50" t="s">
        <v>1175</v>
      </c>
      <c r="R61" s="50" t="s">
        <v>1176</v>
      </c>
      <c r="S61" s="50" t="s">
        <v>1177</v>
      </c>
      <c r="T61" s="46" t="s">
        <v>718</v>
      </c>
    </row>
    <row r="62">
      <c r="A62" s="46" t="s">
        <v>1178</v>
      </c>
      <c r="B62" s="46" t="s">
        <v>1179</v>
      </c>
      <c r="C62" s="46" t="s">
        <v>910</v>
      </c>
      <c r="D62" s="46">
        <v>25.0</v>
      </c>
      <c r="E62" s="46" t="s">
        <v>44</v>
      </c>
      <c r="F62" s="46" t="s">
        <v>710</v>
      </c>
      <c r="G62" s="46">
        <v>3.0</v>
      </c>
      <c r="H62" s="46" t="s">
        <v>822</v>
      </c>
      <c r="I62" s="46" t="s">
        <v>646</v>
      </c>
      <c r="J62" s="46" t="s">
        <v>789</v>
      </c>
      <c r="K62" s="47">
        <v>0.8</v>
      </c>
      <c r="L62" s="46" t="s">
        <v>659</v>
      </c>
      <c r="M62" s="46" t="s">
        <v>1180</v>
      </c>
      <c r="N62" s="46" t="s">
        <v>1181</v>
      </c>
      <c r="O62" s="46">
        <v>74.0</v>
      </c>
      <c r="P62" s="49">
        <v>46146.0</v>
      </c>
      <c r="Q62" s="50" t="s">
        <v>1182</v>
      </c>
      <c r="R62" s="50" t="s">
        <v>1183</v>
      </c>
      <c r="S62" s="50" t="s">
        <v>1184</v>
      </c>
      <c r="T62" s="46" t="s">
        <v>718</v>
      </c>
    </row>
    <row r="63">
      <c r="A63" s="46" t="s">
        <v>1185</v>
      </c>
      <c r="B63" s="46" t="s">
        <v>1179</v>
      </c>
      <c r="C63" s="46" t="s">
        <v>1186</v>
      </c>
      <c r="D63" s="46">
        <v>32.0</v>
      </c>
      <c r="E63" s="46" t="s">
        <v>147</v>
      </c>
      <c r="F63" s="46" t="s">
        <v>710</v>
      </c>
      <c r="G63" s="46">
        <v>8.0</v>
      </c>
      <c r="H63" s="46" t="s">
        <v>1187</v>
      </c>
      <c r="I63" s="46" t="s">
        <v>659</v>
      </c>
      <c r="J63" s="46" t="s">
        <v>722</v>
      </c>
      <c r="K63" s="47">
        <v>0.94</v>
      </c>
      <c r="L63" s="46" t="s">
        <v>659</v>
      </c>
      <c r="M63" s="46" t="s">
        <v>1188</v>
      </c>
      <c r="N63" s="46" t="s">
        <v>1189</v>
      </c>
      <c r="O63" s="46">
        <v>420.0</v>
      </c>
      <c r="P63" s="49">
        <v>46269.0</v>
      </c>
      <c r="Q63" s="50" t="s">
        <v>1190</v>
      </c>
      <c r="R63" s="50" t="s">
        <v>1191</v>
      </c>
      <c r="S63" s="50" t="s">
        <v>1192</v>
      </c>
      <c r="T63" s="46" t="s">
        <v>718</v>
      </c>
    </row>
    <row r="64">
      <c r="A64" s="46" t="s">
        <v>1193</v>
      </c>
      <c r="B64" s="46" t="s">
        <v>1179</v>
      </c>
      <c r="C64" s="46" t="s">
        <v>1087</v>
      </c>
      <c r="D64" s="46">
        <v>23.0</v>
      </c>
      <c r="E64" s="46" t="s">
        <v>1014</v>
      </c>
      <c r="F64" s="46" t="s">
        <v>710</v>
      </c>
      <c r="G64" s="46">
        <v>1.0</v>
      </c>
      <c r="H64" s="46" t="s">
        <v>807</v>
      </c>
      <c r="I64" s="46" t="s">
        <v>732</v>
      </c>
      <c r="J64" s="46" t="s">
        <v>832</v>
      </c>
      <c r="K64" s="47">
        <v>0.6</v>
      </c>
      <c r="L64" s="46" t="s">
        <v>646</v>
      </c>
      <c r="M64" s="48" t="s">
        <v>1194</v>
      </c>
      <c r="N64" s="46" t="s">
        <v>1195</v>
      </c>
      <c r="O64" s="46">
        <v>18.0</v>
      </c>
      <c r="P64" s="46" t="s">
        <v>881</v>
      </c>
      <c r="Q64" s="50" t="s">
        <v>1196</v>
      </c>
      <c r="R64" s="50" t="s">
        <v>1197</v>
      </c>
      <c r="S64" s="50" t="s">
        <v>1198</v>
      </c>
      <c r="T64" s="46" t="s">
        <v>739</v>
      </c>
    </row>
    <row r="65">
      <c r="A65" s="46" t="s">
        <v>1199</v>
      </c>
      <c r="B65" s="46" t="s">
        <v>1179</v>
      </c>
      <c r="C65" s="46" t="s">
        <v>955</v>
      </c>
      <c r="D65" s="46">
        <v>37.0</v>
      </c>
      <c r="E65" s="46" t="s">
        <v>44</v>
      </c>
      <c r="F65" s="46" t="s">
        <v>710</v>
      </c>
      <c r="G65" s="46">
        <v>12.0</v>
      </c>
      <c r="H65" s="46" t="s">
        <v>1116</v>
      </c>
      <c r="I65" s="46" t="s">
        <v>659</v>
      </c>
      <c r="J65" s="46" t="s">
        <v>926</v>
      </c>
      <c r="K65" s="47">
        <v>0.97</v>
      </c>
      <c r="L65" s="46" t="s">
        <v>659</v>
      </c>
      <c r="M65" s="46" t="s">
        <v>1200</v>
      </c>
      <c r="N65" s="46" t="s">
        <v>1201</v>
      </c>
      <c r="O65" s="46">
        <v>690.0</v>
      </c>
      <c r="P65" s="46" t="s">
        <v>801</v>
      </c>
      <c r="Q65" s="50" t="s">
        <v>1202</v>
      </c>
      <c r="R65" s="50" t="s">
        <v>1203</v>
      </c>
      <c r="S65" s="50" t="s">
        <v>1204</v>
      </c>
      <c r="T65" s="46" t="s">
        <v>718</v>
      </c>
    </row>
    <row r="66">
      <c r="A66" s="46" t="s">
        <v>1205</v>
      </c>
      <c r="B66" s="46" t="s">
        <v>1179</v>
      </c>
      <c r="C66" s="46" t="s">
        <v>878</v>
      </c>
      <c r="D66" s="46">
        <v>27.0</v>
      </c>
      <c r="E66" s="46" t="s">
        <v>232</v>
      </c>
      <c r="F66" s="46" t="s">
        <v>710</v>
      </c>
      <c r="G66" s="46">
        <v>4.0</v>
      </c>
      <c r="H66" s="46" t="s">
        <v>848</v>
      </c>
      <c r="I66" s="46" t="s">
        <v>646</v>
      </c>
      <c r="J66" s="46" t="s">
        <v>918</v>
      </c>
      <c r="K66" s="47">
        <v>0.84</v>
      </c>
      <c r="L66" s="46" t="s">
        <v>659</v>
      </c>
      <c r="M66" s="48" t="s">
        <v>1206</v>
      </c>
      <c r="N66" s="46" t="s">
        <v>1207</v>
      </c>
      <c r="O66" s="46">
        <v>102.0</v>
      </c>
      <c r="P66" s="49">
        <v>46177.0</v>
      </c>
      <c r="Q66" s="50" t="s">
        <v>1208</v>
      </c>
      <c r="R66" s="50" t="s">
        <v>1209</v>
      </c>
      <c r="S66" s="50" t="s">
        <v>1210</v>
      </c>
      <c r="T66" s="46" t="s">
        <v>718</v>
      </c>
    </row>
    <row r="67">
      <c r="A67" s="46" t="s">
        <v>1211</v>
      </c>
      <c r="B67" s="46" t="s">
        <v>1179</v>
      </c>
      <c r="C67" s="46" t="s">
        <v>839</v>
      </c>
      <c r="D67" s="46">
        <v>21.0</v>
      </c>
      <c r="E67" s="46" t="s">
        <v>108</v>
      </c>
      <c r="F67" s="46" t="s">
        <v>710</v>
      </c>
      <c r="G67" s="46">
        <v>1.0</v>
      </c>
      <c r="H67" s="46" t="s">
        <v>731</v>
      </c>
      <c r="I67" s="46" t="s">
        <v>732</v>
      </c>
      <c r="J67" s="46" t="s">
        <v>752</v>
      </c>
      <c r="K67" s="47">
        <v>0.55</v>
      </c>
      <c r="L67" s="46" t="s">
        <v>753</v>
      </c>
      <c r="M67" s="48" t="s">
        <v>1212</v>
      </c>
      <c r="N67" s="46" t="s">
        <v>1213</v>
      </c>
      <c r="O67" s="46">
        <v>9.0</v>
      </c>
      <c r="P67" s="49">
        <v>46237.0</v>
      </c>
      <c r="Q67" s="50" t="s">
        <v>1214</v>
      </c>
      <c r="R67" s="50" t="s">
        <v>1215</v>
      </c>
      <c r="S67" s="50" t="s">
        <v>1216</v>
      </c>
      <c r="T67" s="46" t="s">
        <v>759</v>
      </c>
    </row>
    <row r="68">
      <c r="A68" s="46" t="s">
        <v>1217</v>
      </c>
      <c r="B68" s="46" t="s">
        <v>1179</v>
      </c>
      <c r="C68" s="46" t="s">
        <v>917</v>
      </c>
      <c r="D68" s="46">
        <v>29.0</v>
      </c>
      <c r="E68" s="46" t="s">
        <v>57</v>
      </c>
      <c r="F68" s="46" t="s">
        <v>710</v>
      </c>
      <c r="G68" s="46">
        <v>5.0</v>
      </c>
      <c r="H68" s="46" t="s">
        <v>780</v>
      </c>
      <c r="I68" s="46" t="s">
        <v>659</v>
      </c>
      <c r="J68" s="46" t="s">
        <v>763</v>
      </c>
      <c r="K68" s="47">
        <v>0.9</v>
      </c>
      <c r="L68" s="46" t="s">
        <v>659</v>
      </c>
      <c r="M68" s="46" t="s">
        <v>1218</v>
      </c>
      <c r="N68" s="46" t="s">
        <v>1219</v>
      </c>
      <c r="O68" s="46">
        <v>280.0</v>
      </c>
      <c r="P68" s="49">
        <v>46238.0</v>
      </c>
      <c r="Q68" s="50" t="s">
        <v>1220</v>
      </c>
      <c r="R68" s="50" t="s">
        <v>1221</v>
      </c>
      <c r="S68" s="50" t="s">
        <v>1222</v>
      </c>
      <c r="T68" s="46" t="s">
        <v>718</v>
      </c>
    </row>
    <row r="69">
      <c r="A69" s="46" t="s">
        <v>1223</v>
      </c>
      <c r="B69" s="46" t="s">
        <v>1179</v>
      </c>
      <c r="C69" s="46" t="s">
        <v>902</v>
      </c>
      <c r="D69" s="46">
        <v>34.0</v>
      </c>
      <c r="E69" s="46" t="s">
        <v>147</v>
      </c>
      <c r="F69" s="46" t="s">
        <v>710</v>
      </c>
      <c r="G69" s="46">
        <v>9.0</v>
      </c>
      <c r="H69" s="46" t="s">
        <v>1224</v>
      </c>
      <c r="I69" s="46" t="s">
        <v>659</v>
      </c>
      <c r="J69" s="46" t="s">
        <v>722</v>
      </c>
      <c r="K69" s="47">
        <v>0.95</v>
      </c>
      <c r="L69" s="46" t="s">
        <v>659</v>
      </c>
      <c r="M69" s="46" t="s">
        <v>1225</v>
      </c>
      <c r="N69" s="46" t="s">
        <v>1226</v>
      </c>
      <c r="O69" s="46">
        <v>510.0</v>
      </c>
      <c r="P69" s="49">
        <v>46269.0</v>
      </c>
      <c r="Q69" s="50" t="s">
        <v>1227</v>
      </c>
      <c r="R69" s="50" t="s">
        <v>1228</v>
      </c>
      <c r="S69" s="50" t="s">
        <v>1229</v>
      </c>
      <c r="T69" s="46" t="s">
        <v>718</v>
      </c>
    </row>
    <row r="70">
      <c r="A70" s="46" t="s">
        <v>1230</v>
      </c>
      <c r="B70" s="46" t="s">
        <v>1179</v>
      </c>
      <c r="C70" s="46" t="s">
        <v>964</v>
      </c>
      <c r="D70" s="46">
        <v>24.0</v>
      </c>
      <c r="E70" s="46" t="s">
        <v>1022</v>
      </c>
      <c r="F70" s="46" t="s">
        <v>710</v>
      </c>
      <c r="G70" s="46">
        <v>2.0</v>
      </c>
      <c r="H70" s="46" t="s">
        <v>941</v>
      </c>
      <c r="I70" s="46" t="s">
        <v>646</v>
      </c>
      <c r="J70" s="46" t="s">
        <v>832</v>
      </c>
      <c r="K70" s="47">
        <v>0.72</v>
      </c>
      <c r="L70" s="46" t="s">
        <v>646</v>
      </c>
      <c r="M70" s="48" t="s">
        <v>1231</v>
      </c>
      <c r="N70" s="46" t="s">
        <v>1232</v>
      </c>
      <c r="O70" s="46">
        <v>36.0</v>
      </c>
      <c r="P70" s="49">
        <v>46057.0</v>
      </c>
      <c r="Q70" s="50" t="s">
        <v>1233</v>
      </c>
      <c r="R70" s="50" t="s">
        <v>1234</v>
      </c>
      <c r="S70" s="50" t="s">
        <v>1235</v>
      </c>
      <c r="T70" s="46" t="s">
        <v>739</v>
      </c>
    </row>
    <row r="71">
      <c r="A71" s="46" t="s">
        <v>1236</v>
      </c>
      <c r="B71" s="46" t="s">
        <v>1179</v>
      </c>
      <c r="C71" s="46" t="s">
        <v>1100</v>
      </c>
      <c r="D71" s="46">
        <v>28.0</v>
      </c>
      <c r="E71" s="46" t="s">
        <v>99</v>
      </c>
      <c r="F71" s="46" t="s">
        <v>710</v>
      </c>
      <c r="G71" s="46">
        <v>4.0</v>
      </c>
      <c r="H71" s="46" t="s">
        <v>1237</v>
      </c>
      <c r="I71" s="46" t="s">
        <v>646</v>
      </c>
      <c r="J71" s="46" t="s">
        <v>772</v>
      </c>
      <c r="K71" s="47">
        <v>0.86</v>
      </c>
      <c r="L71" s="46" t="s">
        <v>659</v>
      </c>
      <c r="M71" s="48" t="s">
        <v>1238</v>
      </c>
      <c r="N71" s="46" t="s">
        <v>1239</v>
      </c>
      <c r="O71" s="46">
        <v>148.0</v>
      </c>
      <c r="P71" s="49">
        <v>46177.0</v>
      </c>
      <c r="Q71" s="50" t="s">
        <v>1240</v>
      </c>
      <c r="R71" s="50" t="s">
        <v>1241</v>
      </c>
      <c r="S71" s="50" t="s">
        <v>1242</v>
      </c>
      <c r="T71" s="46" t="s">
        <v>718</v>
      </c>
    </row>
    <row r="72">
      <c r="A72" s="46" t="s">
        <v>1243</v>
      </c>
      <c r="B72" s="46" t="s">
        <v>1244</v>
      </c>
      <c r="C72" s="46" t="s">
        <v>796</v>
      </c>
      <c r="D72" s="46">
        <v>27.0</v>
      </c>
      <c r="E72" s="46" t="s">
        <v>44</v>
      </c>
      <c r="F72" s="46" t="s">
        <v>710</v>
      </c>
      <c r="G72" s="46">
        <v>4.0</v>
      </c>
      <c r="H72" s="46" t="s">
        <v>1187</v>
      </c>
      <c r="I72" s="46" t="s">
        <v>659</v>
      </c>
      <c r="J72" s="46" t="s">
        <v>926</v>
      </c>
      <c r="K72" s="47">
        <v>0.91</v>
      </c>
      <c r="L72" s="46" t="s">
        <v>659</v>
      </c>
      <c r="M72" s="48" t="s">
        <v>1245</v>
      </c>
      <c r="N72" s="46" t="s">
        <v>1246</v>
      </c>
      <c r="O72" s="46">
        <v>220.0</v>
      </c>
      <c r="P72" s="49">
        <v>46238.0</v>
      </c>
      <c r="Q72" s="50" t="s">
        <v>1247</v>
      </c>
      <c r="R72" s="50" t="s">
        <v>1248</v>
      </c>
      <c r="S72" s="50" t="s">
        <v>1249</v>
      </c>
      <c r="T72" s="46" t="s">
        <v>718</v>
      </c>
    </row>
    <row r="73">
      <c r="A73" s="46" t="s">
        <v>1250</v>
      </c>
      <c r="B73" s="46" t="s">
        <v>1244</v>
      </c>
      <c r="C73" s="46" t="s">
        <v>1251</v>
      </c>
      <c r="D73" s="46">
        <v>35.0</v>
      </c>
      <c r="E73" s="46" t="s">
        <v>147</v>
      </c>
      <c r="F73" s="46" t="s">
        <v>710</v>
      </c>
      <c r="G73" s="46">
        <v>10.0</v>
      </c>
      <c r="H73" s="46" t="s">
        <v>1116</v>
      </c>
      <c r="I73" s="46" t="s">
        <v>659</v>
      </c>
      <c r="J73" s="46" t="s">
        <v>722</v>
      </c>
      <c r="K73" s="47">
        <v>0.96</v>
      </c>
      <c r="L73" s="46" t="s">
        <v>659</v>
      </c>
      <c r="M73" s="48" t="s">
        <v>1252</v>
      </c>
      <c r="N73" s="46" t="s">
        <v>1253</v>
      </c>
      <c r="O73" s="46">
        <v>610.0</v>
      </c>
      <c r="P73" s="49">
        <v>46269.0</v>
      </c>
      <c r="Q73" s="50" t="s">
        <v>1254</v>
      </c>
      <c r="R73" s="50" t="s">
        <v>1255</v>
      </c>
      <c r="S73" s="50" t="s">
        <v>1256</v>
      </c>
      <c r="T73" s="46" t="s">
        <v>718</v>
      </c>
    </row>
    <row r="74">
      <c r="A74" s="46" t="s">
        <v>1257</v>
      </c>
      <c r="B74" s="46" t="s">
        <v>1244</v>
      </c>
      <c r="C74" s="46" t="s">
        <v>814</v>
      </c>
      <c r="D74" s="46">
        <v>23.0</v>
      </c>
      <c r="E74" s="46" t="s">
        <v>232</v>
      </c>
      <c r="F74" s="46" t="s">
        <v>710</v>
      </c>
      <c r="G74" s="46">
        <v>1.0</v>
      </c>
      <c r="H74" s="46" t="s">
        <v>941</v>
      </c>
      <c r="I74" s="46" t="s">
        <v>646</v>
      </c>
      <c r="J74" s="46" t="s">
        <v>789</v>
      </c>
      <c r="K74" s="47">
        <v>0.64</v>
      </c>
      <c r="L74" s="46" t="s">
        <v>646</v>
      </c>
      <c r="M74" s="48" t="s">
        <v>1258</v>
      </c>
      <c r="N74" s="46" t="s">
        <v>1259</v>
      </c>
      <c r="O74" s="46">
        <v>24.0</v>
      </c>
      <c r="P74" s="49">
        <v>46026.0</v>
      </c>
      <c r="Q74" s="50" t="s">
        <v>1260</v>
      </c>
      <c r="R74" s="50" t="s">
        <v>1261</v>
      </c>
      <c r="S74" s="50" t="s">
        <v>1128</v>
      </c>
      <c r="T74" s="46" t="s">
        <v>739</v>
      </c>
    </row>
    <row r="75">
      <c r="A75" s="46" t="s">
        <v>1262</v>
      </c>
      <c r="B75" s="46" t="s">
        <v>1244</v>
      </c>
      <c r="C75" s="46" t="s">
        <v>902</v>
      </c>
      <c r="D75" s="46">
        <v>31.0</v>
      </c>
      <c r="E75" s="46" t="s">
        <v>44</v>
      </c>
      <c r="F75" s="46" t="s">
        <v>710</v>
      </c>
      <c r="G75" s="46">
        <v>7.0</v>
      </c>
      <c r="H75" s="46" t="s">
        <v>1172</v>
      </c>
      <c r="I75" s="46" t="s">
        <v>659</v>
      </c>
      <c r="J75" s="46" t="s">
        <v>926</v>
      </c>
      <c r="K75" s="47">
        <v>0.93</v>
      </c>
      <c r="L75" s="46" t="s">
        <v>659</v>
      </c>
      <c r="M75" s="48" t="s">
        <v>1263</v>
      </c>
      <c r="N75" s="46" t="s">
        <v>1264</v>
      </c>
      <c r="O75" s="46">
        <v>380.0</v>
      </c>
      <c r="P75" s="49">
        <v>46238.0</v>
      </c>
      <c r="Q75" s="50" t="s">
        <v>1265</v>
      </c>
      <c r="R75" s="50" t="s">
        <v>1266</v>
      </c>
      <c r="S75" s="50" t="s">
        <v>1267</v>
      </c>
      <c r="T75" s="46" t="s">
        <v>718</v>
      </c>
    </row>
    <row r="76">
      <c r="A76" s="46" t="s">
        <v>1268</v>
      </c>
      <c r="B76" s="46" t="s">
        <v>1244</v>
      </c>
      <c r="C76" s="46" t="s">
        <v>830</v>
      </c>
      <c r="D76" s="46">
        <v>28.0</v>
      </c>
      <c r="E76" s="46" t="s">
        <v>57</v>
      </c>
      <c r="F76" s="46" t="s">
        <v>710</v>
      </c>
      <c r="G76" s="46">
        <v>5.0</v>
      </c>
      <c r="H76" s="46" t="s">
        <v>1151</v>
      </c>
      <c r="I76" s="46" t="s">
        <v>659</v>
      </c>
      <c r="J76" s="46" t="s">
        <v>918</v>
      </c>
      <c r="K76" s="47">
        <v>0.88</v>
      </c>
      <c r="L76" s="46" t="s">
        <v>659</v>
      </c>
      <c r="M76" s="48" t="s">
        <v>1269</v>
      </c>
      <c r="N76" s="46" t="s">
        <v>1270</v>
      </c>
      <c r="O76" s="46">
        <v>176.0</v>
      </c>
      <c r="P76" s="49">
        <v>46177.0</v>
      </c>
      <c r="Q76" s="50" t="s">
        <v>1271</v>
      </c>
      <c r="R76" s="50" t="s">
        <v>1272</v>
      </c>
      <c r="S76" s="50" t="s">
        <v>1273</v>
      </c>
      <c r="T76" s="46" t="s">
        <v>718</v>
      </c>
    </row>
    <row r="77">
      <c r="A77" s="46" t="s">
        <v>1274</v>
      </c>
      <c r="B77" s="46" t="s">
        <v>1244</v>
      </c>
      <c r="C77" s="46" t="s">
        <v>1072</v>
      </c>
      <c r="D77" s="46">
        <v>22.0</v>
      </c>
      <c r="E77" s="46" t="s">
        <v>108</v>
      </c>
      <c r="F77" s="46" t="s">
        <v>710</v>
      </c>
      <c r="G77" s="46">
        <v>1.0</v>
      </c>
      <c r="H77" s="46" t="s">
        <v>762</v>
      </c>
      <c r="I77" s="46" t="s">
        <v>646</v>
      </c>
      <c r="J77" s="46" t="s">
        <v>752</v>
      </c>
      <c r="K77" s="47">
        <v>0.58</v>
      </c>
      <c r="L77" s="46" t="s">
        <v>753</v>
      </c>
      <c r="M77" s="48" t="s">
        <v>1275</v>
      </c>
      <c r="N77" s="46" t="s">
        <v>1276</v>
      </c>
      <c r="O77" s="46">
        <v>11.0</v>
      </c>
      <c r="P77" s="49">
        <v>46268.0</v>
      </c>
      <c r="Q77" s="50" t="s">
        <v>1277</v>
      </c>
      <c r="R77" s="50" t="s">
        <v>1278</v>
      </c>
      <c r="S77" s="50" t="s">
        <v>1198</v>
      </c>
      <c r="T77" s="46" t="s">
        <v>759</v>
      </c>
    </row>
    <row r="78">
      <c r="A78" s="46" t="s">
        <v>1279</v>
      </c>
      <c r="B78" s="46" t="s">
        <v>1244</v>
      </c>
      <c r="C78" s="46" t="s">
        <v>1158</v>
      </c>
      <c r="D78" s="46">
        <v>37.0</v>
      </c>
      <c r="E78" s="46" t="s">
        <v>44</v>
      </c>
      <c r="F78" s="46" t="s">
        <v>710</v>
      </c>
      <c r="G78" s="46">
        <v>12.0</v>
      </c>
      <c r="H78" s="46" t="s">
        <v>1159</v>
      </c>
      <c r="I78" s="46" t="s">
        <v>659</v>
      </c>
      <c r="J78" s="46" t="s">
        <v>722</v>
      </c>
      <c r="K78" s="47">
        <v>0.97</v>
      </c>
      <c r="L78" s="46" t="s">
        <v>659</v>
      </c>
      <c r="M78" s="48" t="s">
        <v>1280</v>
      </c>
      <c r="N78" s="46" t="s">
        <v>1281</v>
      </c>
      <c r="O78" s="46">
        <v>740.0</v>
      </c>
      <c r="P78" s="49">
        <v>46269.0</v>
      </c>
      <c r="Q78" s="50" t="s">
        <v>1282</v>
      </c>
      <c r="R78" s="50" t="s">
        <v>1283</v>
      </c>
      <c r="S78" s="50" t="s">
        <v>1284</v>
      </c>
      <c r="T78" s="46" t="s">
        <v>718</v>
      </c>
    </row>
    <row r="79">
      <c r="A79" s="46" t="s">
        <v>1285</v>
      </c>
      <c r="B79" s="46" t="s">
        <v>1244</v>
      </c>
      <c r="C79" s="46" t="s">
        <v>1150</v>
      </c>
      <c r="D79" s="46">
        <v>26.0</v>
      </c>
      <c r="E79" s="46" t="s">
        <v>147</v>
      </c>
      <c r="F79" s="46" t="s">
        <v>710</v>
      </c>
      <c r="G79" s="46">
        <v>3.0</v>
      </c>
      <c r="H79" s="46" t="s">
        <v>903</v>
      </c>
      <c r="I79" s="46" t="s">
        <v>659</v>
      </c>
      <c r="J79" s="46" t="s">
        <v>789</v>
      </c>
      <c r="K79" s="47">
        <v>0.82</v>
      </c>
      <c r="L79" s="46" t="s">
        <v>659</v>
      </c>
      <c r="M79" s="48" t="s">
        <v>1286</v>
      </c>
      <c r="N79" s="46" t="s">
        <v>1287</v>
      </c>
      <c r="O79" s="46">
        <v>92.0</v>
      </c>
      <c r="P79" s="49">
        <v>46146.0</v>
      </c>
      <c r="Q79" s="50" t="s">
        <v>1288</v>
      </c>
      <c r="R79" s="50" t="s">
        <v>1289</v>
      </c>
      <c r="S79" s="50" t="s">
        <v>1290</v>
      </c>
      <c r="T79" s="46" t="s">
        <v>718</v>
      </c>
    </row>
    <row r="80">
      <c r="A80" s="46" t="s">
        <v>1291</v>
      </c>
      <c r="B80" s="46" t="s">
        <v>1244</v>
      </c>
      <c r="C80" s="46" t="s">
        <v>863</v>
      </c>
      <c r="D80" s="46">
        <v>24.0</v>
      </c>
      <c r="E80" s="46" t="s">
        <v>1022</v>
      </c>
      <c r="F80" s="46" t="s">
        <v>710</v>
      </c>
      <c r="G80" s="46">
        <v>2.0</v>
      </c>
      <c r="H80" s="46" t="s">
        <v>1292</v>
      </c>
      <c r="I80" s="46" t="s">
        <v>646</v>
      </c>
      <c r="J80" s="46" t="s">
        <v>832</v>
      </c>
      <c r="K80" s="47">
        <v>0.75</v>
      </c>
      <c r="L80" s="46" t="s">
        <v>646</v>
      </c>
      <c r="M80" s="48" t="s">
        <v>1293</v>
      </c>
      <c r="N80" s="46" t="s">
        <v>1294</v>
      </c>
      <c r="O80" s="46">
        <v>48.0</v>
      </c>
      <c r="P80" s="49">
        <v>46085.0</v>
      </c>
      <c r="Q80" s="50" t="s">
        <v>1295</v>
      </c>
      <c r="R80" s="50" t="s">
        <v>1296</v>
      </c>
      <c r="S80" s="50" t="s">
        <v>1297</v>
      </c>
      <c r="T80" s="46" t="s">
        <v>739</v>
      </c>
    </row>
    <row r="81">
      <c r="A81" s="46" t="s">
        <v>1298</v>
      </c>
      <c r="B81" s="46" t="s">
        <v>1244</v>
      </c>
      <c r="C81" s="46" t="s">
        <v>871</v>
      </c>
      <c r="D81" s="46">
        <v>33.0</v>
      </c>
      <c r="E81" s="46" t="s">
        <v>77</v>
      </c>
      <c r="F81" s="46" t="s">
        <v>710</v>
      </c>
      <c r="G81" s="46">
        <v>9.0</v>
      </c>
      <c r="H81" s="46" t="s">
        <v>1299</v>
      </c>
      <c r="I81" s="46" t="s">
        <v>659</v>
      </c>
      <c r="J81" s="46" t="s">
        <v>772</v>
      </c>
      <c r="K81" s="47">
        <v>0.95</v>
      </c>
      <c r="L81" s="46" t="s">
        <v>659</v>
      </c>
      <c r="M81" s="48" t="s">
        <v>1300</v>
      </c>
      <c r="N81" s="46" t="s">
        <v>1301</v>
      </c>
      <c r="O81" s="46">
        <v>520.0</v>
      </c>
      <c r="P81" s="49">
        <v>46269.0</v>
      </c>
      <c r="Q81" s="50" t="s">
        <v>1302</v>
      </c>
      <c r="R81" s="50" t="s">
        <v>1303</v>
      </c>
      <c r="S81" s="50" t="s">
        <v>1304</v>
      </c>
      <c r="T81" s="46" t="s">
        <v>718</v>
      </c>
    </row>
    <row r="82">
      <c r="A82" s="46" t="s">
        <v>1305</v>
      </c>
      <c r="B82" s="46" t="s">
        <v>1306</v>
      </c>
      <c r="C82" s="46" t="s">
        <v>1307</v>
      </c>
      <c r="D82" s="46">
        <v>28.0</v>
      </c>
      <c r="E82" s="46" t="s">
        <v>44</v>
      </c>
      <c r="F82" s="46" t="s">
        <v>710</v>
      </c>
      <c r="G82" s="46">
        <v>4.0</v>
      </c>
      <c r="H82" s="46" t="s">
        <v>1187</v>
      </c>
      <c r="I82" s="46" t="s">
        <v>659</v>
      </c>
      <c r="J82" s="46" t="s">
        <v>763</v>
      </c>
      <c r="K82" s="47">
        <v>0.85</v>
      </c>
      <c r="L82" s="46" t="s">
        <v>659</v>
      </c>
      <c r="M82" s="46" t="s">
        <v>1308</v>
      </c>
      <c r="N82" s="46" t="s">
        <v>1309</v>
      </c>
      <c r="O82" s="46">
        <v>128.0</v>
      </c>
      <c r="P82" s="49">
        <v>46177.0</v>
      </c>
      <c r="Q82" s="50" t="s">
        <v>1310</v>
      </c>
      <c r="R82" s="50" t="s">
        <v>1311</v>
      </c>
      <c r="S82" s="50" t="s">
        <v>1312</v>
      </c>
      <c r="T82" s="46" t="s">
        <v>718</v>
      </c>
    </row>
    <row r="83">
      <c r="A83" s="46" t="s">
        <v>1313</v>
      </c>
      <c r="B83" s="46" t="s">
        <v>1306</v>
      </c>
      <c r="C83" s="46" t="s">
        <v>1314</v>
      </c>
      <c r="D83" s="46">
        <v>35.0</v>
      </c>
      <c r="E83" s="46" t="s">
        <v>147</v>
      </c>
      <c r="F83" s="46" t="s">
        <v>710</v>
      </c>
      <c r="G83" s="46">
        <v>11.0</v>
      </c>
      <c r="H83" s="46" t="s">
        <v>1116</v>
      </c>
      <c r="I83" s="46" t="s">
        <v>659</v>
      </c>
      <c r="J83" s="46" t="s">
        <v>722</v>
      </c>
      <c r="K83" s="47">
        <v>0.96</v>
      </c>
      <c r="L83" s="46" t="s">
        <v>659</v>
      </c>
      <c r="M83" s="46" t="s">
        <v>1315</v>
      </c>
      <c r="N83" s="46" t="s">
        <v>1316</v>
      </c>
      <c r="O83" s="46">
        <v>610.0</v>
      </c>
      <c r="P83" s="49">
        <v>46269.0</v>
      </c>
      <c r="Q83" s="50" t="s">
        <v>1317</v>
      </c>
      <c r="R83" s="50" t="s">
        <v>1318</v>
      </c>
      <c r="S83" s="50" t="s">
        <v>1319</v>
      </c>
      <c r="T83" s="46" t="s">
        <v>718</v>
      </c>
    </row>
    <row r="84">
      <c r="A84" s="46" t="s">
        <v>1320</v>
      </c>
      <c r="B84" s="46" t="s">
        <v>1306</v>
      </c>
      <c r="C84" s="46" t="s">
        <v>1052</v>
      </c>
      <c r="D84" s="46">
        <v>24.0</v>
      </c>
      <c r="E84" s="46" t="s">
        <v>232</v>
      </c>
      <c r="F84" s="46" t="s">
        <v>710</v>
      </c>
      <c r="G84" s="46">
        <v>2.0</v>
      </c>
      <c r="H84" s="46" t="s">
        <v>822</v>
      </c>
      <c r="I84" s="46" t="s">
        <v>646</v>
      </c>
      <c r="J84" s="46" t="s">
        <v>789</v>
      </c>
      <c r="K84" s="47">
        <v>0.7</v>
      </c>
      <c r="L84" s="46" t="s">
        <v>646</v>
      </c>
      <c r="M84" s="48" t="s">
        <v>1321</v>
      </c>
      <c r="N84" s="46" t="s">
        <v>1322</v>
      </c>
      <c r="O84" s="46">
        <v>36.0</v>
      </c>
      <c r="P84" s="49">
        <v>46057.0</v>
      </c>
      <c r="Q84" s="50" t="s">
        <v>1323</v>
      </c>
      <c r="R84" s="50" t="s">
        <v>1324</v>
      </c>
      <c r="S84" s="50" t="s">
        <v>1325</v>
      </c>
      <c r="T84" s="46" t="s">
        <v>739</v>
      </c>
    </row>
    <row r="85">
      <c r="A85" s="46" t="s">
        <v>1326</v>
      </c>
      <c r="B85" s="46" t="s">
        <v>1306</v>
      </c>
      <c r="C85" s="46" t="s">
        <v>1013</v>
      </c>
      <c r="D85" s="46">
        <v>41.0</v>
      </c>
      <c r="E85" s="46" t="s">
        <v>44</v>
      </c>
      <c r="F85" s="46" t="s">
        <v>710</v>
      </c>
      <c r="G85" s="46">
        <v>16.0</v>
      </c>
      <c r="H85" s="46" t="s">
        <v>1137</v>
      </c>
      <c r="I85" s="46" t="s">
        <v>659</v>
      </c>
      <c r="J85" s="46" t="s">
        <v>926</v>
      </c>
      <c r="K85" s="47">
        <v>0.98</v>
      </c>
      <c r="L85" s="46" t="s">
        <v>659</v>
      </c>
      <c r="M85" s="46" t="s">
        <v>1327</v>
      </c>
      <c r="N85" s="46" t="s">
        <v>1328</v>
      </c>
      <c r="O85" s="46">
        <v>820.0</v>
      </c>
      <c r="P85" s="46" t="s">
        <v>801</v>
      </c>
      <c r="Q85" s="50" t="s">
        <v>1329</v>
      </c>
      <c r="R85" s="50" t="s">
        <v>1330</v>
      </c>
      <c r="S85" s="50" t="s">
        <v>1331</v>
      </c>
      <c r="T85" s="46" t="s">
        <v>718</v>
      </c>
    </row>
    <row r="86">
      <c r="A86" s="46" t="s">
        <v>1332</v>
      </c>
      <c r="B86" s="46" t="s">
        <v>1306</v>
      </c>
      <c r="C86" s="46" t="s">
        <v>1333</v>
      </c>
      <c r="D86" s="46">
        <v>31.0</v>
      </c>
      <c r="E86" s="46" t="s">
        <v>57</v>
      </c>
      <c r="F86" s="46" t="s">
        <v>710</v>
      </c>
      <c r="G86" s="46">
        <v>7.0</v>
      </c>
      <c r="H86" s="46" t="s">
        <v>1030</v>
      </c>
      <c r="I86" s="46" t="s">
        <v>659</v>
      </c>
      <c r="J86" s="46" t="s">
        <v>918</v>
      </c>
      <c r="K86" s="47">
        <v>0.9</v>
      </c>
      <c r="L86" s="46" t="s">
        <v>659</v>
      </c>
      <c r="M86" s="48" t="s">
        <v>1334</v>
      </c>
      <c r="N86" s="46" t="s">
        <v>1335</v>
      </c>
      <c r="O86" s="46">
        <v>240.0</v>
      </c>
      <c r="P86" s="49">
        <v>46238.0</v>
      </c>
      <c r="Q86" s="50" t="s">
        <v>1336</v>
      </c>
      <c r="R86" s="50" t="s">
        <v>1337</v>
      </c>
      <c r="S86" s="50" t="s">
        <v>1338</v>
      </c>
      <c r="T86" s="46" t="s">
        <v>718</v>
      </c>
    </row>
    <row r="87">
      <c r="A87" s="46" t="s">
        <v>1339</v>
      </c>
      <c r="B87" s="46" t="s">
        <v>1306</v>
      </c>
      <c r="C87" s="46" t="s">
        <v>839</v>
      </c>
      <c r="D87" s="46">
        <v>23.0</v>
      </c>
      <c r="E87" s="46" t="s">
        <v>108</v>
      </c>
      <c r="F87" s="46" t="s">
        <v>710</v>
      </c>
      <c r="G87" s="46">
        <v>1.0</v>
      </c>
      <c r="H87" s="46" t="s">
        <v>762</v>
      </c>
      <c r="I87" s="46" t="s">
        <v>646</v>
      </c>
      <c r="J87" s="46" t="s">
        <v>752</v>
      </c>
      <c r="K87" s="47">
        <v>0.58</v>
      </c>
      <c r="L87" s="46" t="s">
        <v>753</v>
      </c>
      <c r="M87" s="48" t="s">
        <v>1340</v>
      </c>
      <c r="N87" s="46" t="s">
        <v>1341</v>
      </c>
      <c r="O87" s="46">
        <v>12.0</v>
      </c>
      <c r="P87" s="49">
        <v>46268.0</v>
      </c>
      <c r="Q87" s="50" t="s">
        <v>1342</v>
      </c>
      <c r="R87" s="50" t="s">
        <v>1215</v>
      </c>
      <c r="S87" s="50" t="s">
        <v>1343</v>
      </c>
      <c r="T87" s="46" t="s">
        <v>759</v>
      </c>
    </row>
    <row r="88">
      <c r="A88" s="46" t="s">
        <v>1344</v>
      </c>
      <c r="B88" s="46" t="s">
        <v>1306</v>
      </c>
      <c r="C88" s="46" t="s">
        <v>1345</v>
      </c>
      <c r="D88" s="46">
        <v>34.0</v>
      </c>
      <c r="E88" s="46" t="s">
        <v>44</v>
      </c>
      <c r="F88" s="46" t="s">
        <v>710</v>
      </c>
      <c r="G88" s="46">
        <v>9.0</v>
      </c>
      <c r="H88" s="46" t="s">
        <v>1346</v>
      </c>
      <c r="I88" s="46" t="s">
        <v>659</v>
      </c>
      <c r="J88" s="46" t="s">
        <v>722</v>
      </c>
      <c r="K88" s="47">
        <v>0.94</v>
      </c>
      <c r="L88" s="46" t="s">
        <v>659</v>
      </c>
      <c r="M88" s="46" t="s">
        <v>1347</v>
      </c>
      <c r="N88" s="46" t="s">
        <v>1348</v>
      </c>
      <c r="O88" s="46">
        <v>390.0</v>
      </c>
      <c r="P88" s="49">
        <v>46269.0</v>
      </c>
      <c r="Q88" s="50" t="s">
        <v>1349</v>
      </c>
      <c r="R88" s="50" t="s">
        <v>1350</v>
      </c>
      <c r="S88" s="50" t="s">
        <v>1351</v>
      </c>
      <c r="T88" s="46" t="s">
        <v>718</v>
      </c>
    </row>
    <row r="89">
      <c r="A89" s="46" t="s">
        <v>1352</v>
      </c>
      <c r="B89" s="46" t="s">
        <v>1306</v>
      </c>
      <c r="C89" s="46" t="s">
        <v>964</v>
      </c>
      <c r="D89" s="46">
        <v>27.0</v>
      </c>
      <c r="E89" s="46" t="s">
        <v>1022</v>
      </c>
      <c r="F89" s="46" t="s">
        <v>710</v>
      </c>
      <c r="G89" s="46">
        <v>4.0</v>
      </c>
      <c r="H89" s="46" t="s">
        <v>1353</v>
      </c>
      <c r="I89" s="46" t="s">
        <v>659</v>
      </c>
      <c r="J89" s="46" t="s">
        <v>763</v>
      </c>
      <c r="K89" s="47">
        <v>0.87</v>
      </c>
      <c r="L89" s="46" t="s">
        <v>659</v>
      </c>
      <c r="M89" s="48" t="s">
        <v>1354</v>
      </c>
      <c r="N89" s="46" t="s">
        <v>1322</v>
      </c>
      <c r="O89" s="46">
        <v>104.0</v>
      </c>
      <c r="P89" s="49">
        <v>46177.0</v>
      </c>
      <c r="Q89" s="50" t="s">
        <v>1355</v>
      </c>
      <c r="R89" s="50" t="s">
        <v>1356</v>
      </c>
      <c r="S89" s="50" t="s">
        <v>1312</v>
      </c>
      <c r="T89" s="46" t="s">
        <v>718</v>
      </c>
    </row>
    <row r="90">
      <c r="A90" s="46" t="s">
        <v>1357</v>
      </c>
      <c r="B90" s="46" t="s">
        <v>1306</v>
      </c>
      <c r="C90" s="46" t="s">
        <v>1087</v>
      </c>
      <c r="D90" s="46">
        <v>25.0</v>
      </c>
      <c r="E90" s="46" t="s">
        <v>147</v>
      </c>
      <c r="F90" s="46" t="s">
        <v>710</v>
      </c>
      <c r="G90" s="46">
        <v>3.0</v>
      </c>
      <c r="H90" s="46" t="s">
        <v>742</v>
      </c>
      <c r="I90" s="46" t="s">
        <v>646</v>
      </c>
      <c r="J90" s="46" t="s">
        <v>832</v>
      </c>
      <c r="K90" s="47">
        <v>0.78</v>
      </c>
      <c r="L90" s="46" t="s">
        <v>646</v>
      </c>
      <c r="M90" s="48" t="s">
        <v>1358</v>
      </c>
      <c r="N90" s="46" t="s">
        <v>1359</v>
      </c>
      <c r="O90" s="46">
        <v>68.0</v>
      </c>
      <c r="P90" s="49">
        <v>46116.0</v>
      </c>
      <c r="Q90" s="50" t="s">
        <v>1360</v>
      </c>
      <c r="R90" s="50" t="s">
        <v>1361</v>
      </c>
      <c r="S90" s="50" t="s">
        <v>900</v>
      </c>
      <c r="T90" s="46" t="s">
        <v>739</v>
      </c>
    </row>
    <row r="91">
      <c r="A91" s="46" t="s">
        <v>1362</v>
      </c>
      <c r="B91" s="46" t="s">
        <v>1306</v>
      </c>
      <c r="C91" s="46" t="s">
        <v>871</v>
      </c>
      <c r="D91" s="46">
        <v>39.0</v>
      </c>
      <c r="E91" s="46" t="s">
        <v>99</v>
      </c>
      <c r="F91" s="46" t="s">
        <v>710</v>
      </c>
      <c r="G91" s="46">
        <v>14.0</v>
      </c>
      <c r="H91" s="46" t="s">
        <v>1363</v>
      </c>
      <c r="I91" s="46" t="s">
        <v>659</v>
      </c>
      <c r="J91" s="46" t="s">
        <v>772</v>
      </c>
      <c r="K91" s="47">
        <v>0.97</v>
      </c>
      <c r="L91" s="46" t="s">
        <v>659</v>
      </c>
      <c r="M91" s="46" t="s">
        <v>1364</v>
      </c>
      <c r="N91" s="46" t="s">
        <v>1365</v>
      </c>
      <c r="O91" s="46">
        <v>710.0</v>
      </c>
      <c r="P91" s="46" t="s">
        <v>801</v>
      </c>
      <c r="Q91" s="50" t="s">
        <v>1366</v>
      </c>
      <c r="R91" s="50" t="s">
        <v>1367</v>
      </c>
      <c r="S91" s="50" t="s">
        <v>1368</v>
      </c>
      <c r="T91" s="46" t="s">
        <v>718</v>
      </c>
    </row>
    <row r="92">
      <c r="A92" s="46" t="s">
        <v>1369</v>
      </c>
      <c r="B92" s="46" t="s">
        <v>230</v>
      </c>
      <c r="C92" s="46" t="s">
        <v>1370</v>
      </c>
      <c r="D92" s="46">
        <v>24.0</v>
      </c>
      <c r="E92" s="46" t="s">
        <v>44</v>
      </c>
      <c r="F92" s="46" t="s">
        <v>730</v>
      </c>
      <c r="G92" s="46">
        <v>2.0</v>
      </c>
      <c r="H92" s="46" t="s">
        <v>731</v>
      </c>
      <c r="I92" s="46" t="s">
        <v>732</v>
      </c>
      <c r="J92" s="46" t="s">
        <v>832</v>
      </c>
      <c r="K92" s="47">
        <v>0.7</v>
      </c>
      <c r="L92" s="46" t="s">
        <v>646</v>
      </c>
      <c r="M92" s="48" t="s">
        <v>1371</v>
      </c>
      <c r="N92" s="46" t="s">
        <v>1372</v>
      </c>
      <c r="O92" s="46">
        <v>34.0</v>
      </c>
      <c r="P92" s="49">
        <v>46057.0</v>
      </c>
      <c r="Q92" s="50" t="s">
        <v>1373</v>
      </c>
      <c r="R92" s="50" t="s">
        <v>1374</v>
      </c>
      <c r="S92" s="50" t="s">
        <v>1375</v>
      </c>
      <c r="T92" s="46" t="s">
        <v>739</v>
      </c>
    </row>
    <row r="93">
      <c r="A93" s="46" t="s">
        <v>1376</v>
      </c>
      <c r="B93" s="46" t="s">
        <v>230</v>
      </c>
      <c r="C93" s="46" t="s">
        <v>761</v>
      </c>
      <c r="D93" s="46">
        <v>29.0</v>
      </c>
      <c r="E93" s="46" t="s">
        <v>147</v>
      </c>
      <c r="F93" s="46" t="s">
        <v>730</v>
      </c>
      <c r="G93" s="46">
        <v>6.0</v>
      </c>
      <c r="H93" s="46" t="s">
        <v>848</v>
      </c>
      <c r="I93" s="46" t="s">
        <v>659</v>
      </c>
      <c r="J93" s="46" t="s">
        <v>918</v>
      </c>
      <c r="K93" s="47">
        <v>0.9</v>
      </c>
      <c r="L93" s="46" t="s">
        <v>659</v>
      </c>
      <c r="M93" s="48" t="s">
        <v>1377</v>
      </c>
      <c r="N93" s="46" t="s">
        <v>1378</v>
      </c>
      <c r="O93" s="46">
        <v>210.0</v>
      </c>
      <c r="P93" s="49">
        <v>46238.0</v>
      </c>
      <c r="Q93" s="50" t="s">
        <v>1379</v>
      </c>
      <c r="R93" s="50" t="s">
        <v>1380</v>
      </c>
      <c r="S93" s="50" t="s">
        <v>1381</v>
      </c>
      <c r="T93" s="46" t="s">
        <v>718</v>
      </c>
    </row>
    <row r="94">
      <c r="A94" s="46" t="s">
        <v>1382</v>
      </c>
      <c r="B94" s="46" t="s">
        <v>230</v>
      </c>
      <c r="C94" s="46" t="s">
        <v>830</v>
      </c>
      <c r="D94" s="46">
        <v>26.0</v>
      </c>
      <c r="E94" s="46" t="s">
        <v>57</v>
      </c>
      <c r="F94" s="46" t="s">
        <v>730</v>
      </c>
      <c r="G94" s="46">
        <v>4.0</v>
      </c>
      <c r="H94" s="46" t="s">
        <v>856</v>
      </c>
      <c r="I94" s="46" t="s">
        <v>646</v>
      </c>
      <c r="J94" s="46" t="s">
        <v>832</v>
      </c>
      <c r="K94" s="47">
        <v>0.82</v>
      </c>
      <c r="L94" s="46" t="s">
        <v>659</v>
      </c>
      <c r="M94" s="48" t="s">
        <v>1383</v>
      </c>
      <c r="N94" s="46" t="s">
        <v>1384</v>
      </c>
      <c r="O94" s="46">
        <v>88.0</v>
      </c>
      <c r="P94" s="49">
        <v>46146.0</v>
      </c>
      <c r="Q94" s="50" t="s">
        <v>1385</v>
      </c>
      <c r="R94" s="50" t="s">
        <v>1386</v>
      </c>
      <c r="S94" s="50" t="s">
        <v>1387</v>
      </c>
      <c r="T94" s="46" t="s">
        <v>718</v>
      </c>
    </row>
    <row r="95">
      <c r="A95" s="46" t="s">
        <v>1388</v>
      </c>
      <c r="B95" s="46" t="s">
        <v>230</v>
      </c>
      <c r="C95" s="46" t="s">
        <v>878</v>
      </c>
      <c r="D95" s="46">
        <v>22.0</v>
      </c>
      <c r="E95" s="46" t="s">
        <v>232</v>
      </c>
      <c r="F95" s="46" t="s">
        <v>730</v>
      </c>
      <c r="G95" s="46">
        <v>1.0</v>
      </c>
      <c r="H95" s="46" t="s">
        <v>751</v>
      </c>
      <c r="I95" s="46" t="s">
        <v>732</v>
      </c>
      <c r="J95" s="46" t="s">
        <v>752</v>
      </c>
      <c r="K95" s="47">
        <v>0.58</v>
      </c>
      <c r="L95" s="46" t="s">
        <v>753</v>
      </c>
      <c r="M95" s="48" t="s">
        <v>1389</v>
      </c>
      <c r="N95" s="46" t="s">
        <v>1390</v>
      </c>
      <c r="O95" s="46">
        <v>12.0</v>
      </c>
      <c r="P95" s="49">
        <v>46268.0</v>
      </c>
      <c r="Q95" s="50" t="s">
        <v>1391</v>
      </c>
      <c r="R95" s="50" t="s">
        <v>1392</v>
      </c>
      <c r="S95" s="50" t="s">
        <v>1393</v>
      </c>
      <c r="T95" s="46" t="s">
        <v>759</v>
      </c>
    </row>
    <row r="96">
      <c r="A96" s="46" t="s">
        <v>1394</v>
      </c>
      <c r="B96" s="46" t="s">
        <v>230</v>
      </c>
      <c r="C96" s="46" t="s">
        <v>1395</v>
      </c>
      <c r="D96" s="46">
        <v>34.0</v>
      </c>
      <c r="E96" s="46" t="s">
        <v>44</v>
      </c>
      <c r="F96" s="46" t="s">
        <v>730</v>
      </c>
      <c r="G96" s="46">
        <v>10.0</v>
      </c>
      <c r="H96" s="46" t="s">
        <v>780</v>
      </c>
      <c r="I96" s="46" t="s">
        <v>659</v>
      </c>
      <c r="J96" s="46" t="s">
        <v>722</v>
      </c>
      <c r="K96" s="47">
        <v>0.96</v>
      </c>
      <c r="L96" s="46" t="s">
        <v>659</v>
      </c>
      <c r="M96" s="48" t="s">
        <v>1396</v>
      </c>
      <c r="N96" s="46" t="s">
        <v>1397</v>
      </c>
      <c r="O96" s="46">
        <v>520.0</v>
      </c>
      <c r="P96" s="49">
        <v>46269.0</v>
      </c>
      <c r="Q96" s="50" t="s">
        <v>1398</v>
      </c>
      <c r="R96" s="50" t="s">
        <v>1399</v>
      </c>
      <c r="S96" s="50" t="s">
        <v>1400</v>
      </c>
      <c r="T96" s="46" t="s">
        <v>718</v>
      </c>
    </row>
    <row r="97">
      <c r="A97" s="46" t="s">
        <v>1401</v>
      </c>
      <c r="B97" s="46" t="s">
        <v>230</v>
      </c>
      <c r="C97" s="46" t="s">
        <v>750</v>
      </c>
      <c r="D97" s="46">
        <v>25.0</v>
      </c>
      <c r="E97" s="46" t="s">
        <v>1022</v>
      </c>
      <c r="F97" s="46" t="s">
        <v>730</v>
      </c>
      <c r="G97" s="46">
        <v>3.0</v>
      </c>
      <c r="H97" s="46" t="s">
        <v>788</v>
      </c>
      <c r="I97" s="46" t="s">
        <v>646</v>
      </c>
      <c r="J97" s="46" t="s">
        <v>832</v>
      </c>
      <c r="K97" s="47">
        <v>0.75</v>
      </c>
      <c r="L97" s="46" t="s">
        <v>646</v>
      </c>
      <c r="M97" s="48" t="s">
        <v>1402</v>
      </c>
      <c r="N97" s="46" t="s">
        <v>1403</v>
      </c>
      <c r="O97" s="46">
        <v>54.0</v>
      </c>
      <c r="P97" s="49">
        <v>46085.0</v>
      </c>
      <c r="Q97" s="50" t="s">
        <v>1404</v>
      </c>
      <c r="R97" s="50" t="s">
        <v>1405</v>
      </c>
      <c r="S97" s="50" t="s">
        <v>1406</v>
      </c>
      <c r="T97" s="46" t="s">
        <v>739</v>
      </c>
    </row>
    <row r="98">
      <c r="A98" s="46" t="s">
        <v>1407</v>
      </c>
      <c r="B98" s="46" t="s">
        <v>230</v>
      </c>
      <c r="C98" s="46" t="s">
        <v>1079</v>
      </c>
      <c r="D98" s="46">
        <v>31.0</v>
      </c>
      <c r="E98" s="46" t="s">
        <v>1014</v>
      </c>
      <c r="F98" s="46" t="s">
        <v>730</v>
      </c>
      <c r="G98" s="46">
        <v>7.0</v>
      </c>
      <c r="H98" s="46" t="s">
        <v>742</v>
      </c>
      <c r="I98" s="46" t="s">
        <v>659</v>
      </c>
      <c r="J98" s="46" t="s">
        <v>918</v>
      </c>
      <c r="K98" s="47">
        <v>0.92</v>
      </c>
      <c r="L98" s="46" t="s">
        <v>659</v>
      </c>
      <c r="M98" s="48" t="s">
        <v>1408</v>
      </c>
      <c r="N98" s="46" t="s">
        <v>1409</v>
      </c>
      <c r="O98" s="46">
        <v>355.0</v>
      </c>
      <c r="P98" s="49">
        <v>46238.0</v>
      </c>
      <c r="Q98" s="50" t="s">
        <v>1410</v>
      </c>
      <c r="R98" s="50" t="s">
        <v>1411</v>
      </c>
      <c r="S98" s="50" t="s">
        <v>1412</v>
      </c>
      <c r="T98" s="46" t="s">
        <v>718</v>
      </c>
    </row>
    <row r="99">
      <c r="A99" s="46" t="s">
        <v>1413</v>
      </c>
      <c r="B99" s="46" t="s">
        <v>230</v>
      </c>
      <c r="C99" s="46" t="s">
        <v>1006</v>
      </c>
      <c r="D99" s="46">
        <v>23.0</v>
      </c>
      <c r="E99" s="46" t="s">
        <v>1414</v>
      </c>
      <c r="F99" s="46" t="s">
        <v>730</v>
      </c>
      <c r="G99" s="46">
        <v>2.0</v>
      </c>
      <c r="H99" s="46" t="s">
        <v>864</v>
      </c>
      <c r="I99" s="46" t="s">
        <v>732</v>
      </c>
      <c r="J99" s="46" t="s">
        <v>832</v>
      </c>
      <c r="K99" s="47">
        <v>0.68</v>
      </c>
      <c r="L99" s="46" t="s">
        <v>646</v>
      </c>
      <c r="M99" s="48" t="s">
        <v>1415</v>
      </c>
      <c r="N99" s="46" t="s">
        <v>1416</v>
      </c>
      <c r="O99" s="46">
        <v>22.0</v>
      </c>
      <c r="P99" s="49">
        <v>46026.0</v>
      </c>
      <c r="Q99" s="50" t="s">
        <v>1417</v>
      </c>
      <c r="R99" s="50" t="s">
        <v>1418</v>
      </c>
      <c r="S99" s="50" t="s">
        <v>1419</v>
      </c>
      <c r="T99" s="46" t="s">
        <v>739</v>
      </c>
    </row>
    <row r="100">
      <c r="A100" s="46" t="s">
        <v>1420</v>
      </c>
      <c r="B100" s="46" t="s">
        <v>230</v>
      </c>
      <c r="C100" s="46" t="s">
        <v>1421</v>
      </c>
      <c r="D100" s="46">
        <v>36.0</v>
      </c>
      <c r="E100" s="46" t="s">
        <v>77</v>
      </c>
      <c r="F100" s="46" t="s">
        <v>730</v>
      </c>
      <c r="G100" s="46">
        <v>12.0</v>
      </c>
      <c r="H100" s="46" t="s">
        <v>721</v>
      </c>
      <c r="I100" s="46" t="s">
        <v>659</v>
      </c>
      <c r="J100" s="46" t="s">
        <v>722</v>
      </c>
      <c r="K100" s="47">
        <v>0.97</v>
      </c>
      <c r="L100" s="46" t="s">
        <v>659</v>
      </c>
      <c r="M100" s="48" t="s">
        <v>1422</v>
      </c>
      <c r="N100" s="46" t="s">
        <v>1423</v>
      </c>
      <c r="O100" s="46">
        <v>610.0</v>
      </c>
      <c r="P100" s="46" t="s">
        <v>801</v>
      </c>
      <c r="Q100" s="50" t="s">
        <v>1424</v>
      </c>
      <c r="R100" s="50" t="s">
        <v>1425</v>
      </c>
      <c r="S100" s="50" t="s">
        <v>1426</v>
      </c>
      <c r="T100" s="46" t="s">
        <v>718</v>
      </c>
    </row>
    <row r="101">
      <c r="A101" s="46" t="s">
        <v>1427</v>
      </c>
      <c r="B101" s="46" t="s">
        <v>230</v>
      </c>
      <c r="C101" s="46" t="s">
        <v>1428</v>
      </c>
      <c r="D101" s="46">
        <v>28.0</v>
      </c>
      <c r="E101" s="46" t="s">
        <v>99</v>
      </c>
      <c r="F101" s="46" t="s">
        <v>730</v>
      </c>
      <c r="G101" s="46">
        <v>5.0</v>
      </c>
      <c r="H101" s="46" t="s">
        <v>1429</v>
      </c>
      <c r="I101" s="46" t="s">
        <v>646</v>
      </c>
      <c r="J101" s="46" t="s">
        <v>918</v>
      </c>
      <c r="K101" s="47">
        <v>0.85</v>
      </c>
      <c r="L101" s="46" t="s">
        <v>659</v>
      </c>
      <c r="M101" s="48" t="s">
        <v>1430</v>
      </c>
      <c r="N101" s="46" t="s">
        <v>1431</v>
      </c>
      <c r="O101" s="46">
        <v>148.0</v>
      </c>
      <c r="P101" s="49">
        <v>46177.0</v>
      </c>
      <c r="Q101" s="50" t="s">
        <v>1432</v>
      </c>
      <c r="R101" s="50" t="s">
        <v>1433</v>
      </c>
      <c r="S101" s="50" t="s">
        <v>1434</v>
      </c>
      <c r="T101" s="46" t="s">
        <v>718</v>
      </c>
    </row>
    <row r="102">
      <c r="A102" s="46" t="s">
        <v>1435</v>
      </c>
      <c r="B102" s="46" t="s">
        <v>1436</v>
      </c>
      <c r="C102" s="46" t="s">
        <v>1437</v>
      </c>
      <c r="D102" s="46">
        <v>24.0</v>
      </c>
      <c r="E102" s="46" t="s">
        <v>44</v>
      </c>
      <c r="F102" s="46" t="s">
        <v>730</v>
      </c>
      <c r="G102" s="46">
        <v>2.0</v>
      </c>
      <c r="H102" s="46" t="s">
        <v>751</v>
      </c>
      <c r="I102" s="46" t="s">
        <v>732</v>
      </c>
      <c r="J102" s="46" t="s">
        <v>832</v>
      </c>
      <c r="K102" s="47">
        <v>0.7</v>
      </c>
      <c r="L102" s="46" t="s">
        <v>646</v>
      </c>
      <c r="M102" s="48" t="s">
        <v>1438</v>
      </c>
      <c r="N102" s="46" t="s">
        <v>1439</v>
      </c>
      <c r="O102" s="46">
        <v>48.0</v>
      </c>
      <c r="P102" s="49">
        <v>46057.0</v>
      </c>
      <c r="Q102" s="50" t="s">
        <v>1440</v>
      </c>
      <c r="R102" s="50" t="s">
        <v>1441</v>
      </c>
      <c r="S102" s="50" t="s">
        <v>1375</v>
      </c>
      <c r="T102" s="46" t="s">
        <v>739</v>
      </c>
    </row>
    <row r="103">
      <c r="A103" s="46" t="s">
        <v>1442</v>
      </c>
      <c r="B103" s="46" t="s">
        <v>1436</v>
      </c>
      <c r="C103" s="46" t="s">
        <v>1443</v>
      </c>
      <c r="D103" s="46">
        <v>31.0</v>
      </c>
      <c r="E103" s="46" t="s">
        <v>147</v>
      </c>
      <c r="F103" s="46" t="s">
        <v>730</v>
      </c>
      <c r="G103" s="46">
        <v>7.0</v>
      </c>
      <c r="H103" s="46" t="s">
        <v>822</v>
      </c>
      <c r="I103" s="46" t="s">
        <v>659</v>
      </c>
      <c r="J103" s="46" t="s">
        <v>918</v>
      </c>
      <c r="K103" s="47">
        <v>0.92</v>
      </c>
      <c r="L103" s="46" t="s">
        <v>659</v>
      </c>
      <c r="M103" s="48" t="s">
        <v>1444</v>
      </c>
      <c r="N103" s="46" t="s">
        <v>1445</v>
      </c>
      <c r="O103" s="46">
        <v>320.0</v>
      </c>
      <c r="P103" s="49">
        <v>46238.0</v>
      </c>
      <c r="Q103" s="50" t="s">
        <v>1446</v>
      </c>
      <c r="R103" s="50" t="s">
        <v>1447</v>
      </c>
      <c r="S103" s="50" t="s">
        <v>1448</v>
      </c>
      <c r="T103" s="46" t="s">
        <v>718</v>
      </c>
    </row>
    <row r="104">
      <c r="A104" s="46" t="s">
        <v>1449</v>
      </c>
      <c r="B104" s="46" t="s">
        <v>1436</v>
      </c>
      <c r="C104" s="46" t="s">
        <v>830</v>
      </c>
      <c r="D104" s="46">
        <v>26.0</v>
      </c>
      <c r="E104" s="46" t="s">
        <v>57</v>
      </c>
      <c r="F104" s="46" t="s">
        <v>730</v>
      </c>
      <c r="G104" s="46">
        <v>4.0</v>
      </c>
      <c r="H104" s="46" t="s">
        <v>788</v>
      </c>
      <c r="I104" s="46" t="s">
        <v>646</v>
      </c>
      <c r="J104" s="46" t="s">
        <v>832</v>
      </c>
      <c r="K104" s="47">
        <v>0.82</v>
      </c>
      <c r="L104" s="46" t="s">
        <v>659</v>
      </c>
      <c r="M104" s="48" t="s">
        <v>1450</v>
      </c>
      <c r="N104" s="46" t="s">
        <v>1451</v>
      </c>
      <c r="O104" s="46">
        <v>118.0</v>
      </c>
      <c r="P104" s="49">
        <v>46146.0</v>
      </c>
      <c r="Q104" s="50" t="s">
        <v>1452</v>
      </c>
      <c r="R104" s="50" t="s">
        <v>1453</v>
      </c>
      <c r="S104" s="50" t="s">
        <v>1454</v>
      </c>
      <c r="T104" s="46" t="s">
        <v>718</v>
      </c>
    </row>
    <row r="105">
      <c r="A105" s="46" t="s">
        <v>1455</v>
      </c>
      <c r="B105" s="46" t="s">
        <v>1436</v>
      </c>
      <c r="C105" s="46" t="s">
        <v>878</v>
      </c>
      <c r="D105" s="46">
        <v>22.0</v>
      </c>
      <c r="E105" s="46" t="s">
        <v>232</v>
      </c>
      <c r="F105" s="46" t="s">
        <v>730</v>
      </c>
      <c r="G105" s="46">
        <v>1.0</v>
      </c>
      <c r="H105" s="46" t="s">
        <v>840</v>
      </c>
      <c r="I105" s="46" t="s">
        <v>732</v>
      </c>
      <c r="J105" s="46" t="s">
        <v>752</v>
      </c>
      <c r="K105" s="47">
        <v>0.55</v>
      </c>
      <c r="L105" s="46" t="s">
        <v>753</v>
      </c>
      <c r="M105" s="48" t="s">
        <v>1456</v>
      </c>
      <c r="N105" s="46" t="s">
        <v>1390</v>
      </c>
      <c r="O105" s="46">
        <v>14.0</v>
      </c>
      <c r="P105" s="49">
        <v>46268.0</v>
      </c>
      <c r="Q105" s="50" t="s">
        <v>1457</v>
      </c>
      <c r="R105" s="50" t="s">
        <v>1458</v>
      </c>
      <c r="S105" s="50" t="s">
        <v>1393</v>
      </c>
      <c r="T105" s="46" t="s">
        <v>759</v>
      </c>
    </row>
    <row r="106">
      <c r="A106" s="46" t="s">
        <v>1459</v>
      </c>
      <c r="B106" s="46" t="s">
        <v>1436</v>
      </c>
      <c r="C106" s="46" t="s">
        <v>1079</v>
      </c>
      <c r="D106" s="46">
        <v>35.0</v>
      </c>
      <c r="E106" s="46" t="s">
        <v>44</v>
      </c>
      <c r="F106" s="46" t="s">
        <v>730</v>
      </c>
      <c r="G106" s="46">
        <v>12.0</v>
      </c>
      <c r="H106" s="46" t="s">
        <v>903</v>
      </c>
      <c r="I106" s="46" t="s">
        <v>659</v>
      </c>
      <c r="J106" s="46" t="s">
        <v>722</v>
      </c>
      <c r="K106" s="47">
        <v>0.97</v>
      </c>
      <c r="L106" s="46" t="s">
        <v>659</v>
      </c>
      <c r="M106" s="48" t="s">
        <v>1460</v>
      </c>
      <c r="N106" s="46" t="s">
        <v>1461</v>
      </c>
      <c r="O106" s="46">
        <v>610.0</v>
      </c>
      <c r="P106" s="46" t="s">
        <v>801</v>
      </c>
      <c r="Q106" s="50" t="s">
        <v>1462</v>
      </c>
      <c r="R106" s="50" t="s">
        <v>1463</v>
      </c>
      <c r="S106" s="50" t="s">
        <v>1464</v>
      </c>
      <c r="T106" s="46" t="s">
        <v>718</v>
      </c>
    </row>
    <row r="107">
      <c r="A107" s="46" t="s">
        <v>1465</v>
      </c>
      <c r="B107" s="46" t="s">
        <v>1436</v>
      </c>
      <c r="C107" s="46" t="s">
        <v>750</v>
      </c>
      <c r="D107" s="46">
        <v>25.0</v>
      </c>
      <c r="E107" s="46" t="s">
        <v>1022</v>
      </c>
      <c r="F107" s="46" t="s">
        <v>730</v>
      </c>
      <c r="G107" s="46">
        <v>3.0</v>
      </c>
      <c r="H107" s="46" t="s">
        <v>731</v>
      </c>
      <c r="I107" s="46" t="s">
        <v>646</v>
      </c>
      <c r="J107" s="46" t="s">
        <v>832</v>
      </c>
      <c r="K107" s="47">
        <v>0.75</v>
      </c>
      <c r="L107" s="46" t="s">
        <v>646</v>
      </c>
      <c r="M107" s="48" t="s">
        <v>1466</v>
      </c>
      <c r="N107" s="46" t="s">
        <v>1467</v>
      </c>
      <c r="O107" s="46">
        <v>64.0</v>
      </c>
      <c r="P107" s="49">
        <v>46085.0</v>
      </c>
      <c r="Q107" s="50" t="s">
        <v>1468</v>
      </c>
      <c r="R107" s="50" t="s">
        <v>1469</v>
      </c>
      <c r="S107" s="50" t="s">
        <v>1406</v>
      </c>
      <c r="T107" s="46" t="s">
        <v>739</v>
      </c>
    </row>
    <row r="108">
      <c r="A108" s="46" t="s">
        <v>1470</v>
      </c>
      <c r="B108" s="46" t="s">
        <v>1436</v>
      </c>
      <c r="C108" s="46" t="s">
        <v>1006</v>
      </c>
      <c r="D108" s="46">
        <v>23.0</v>
      </c>
      <c r="E108" s="46" t="s">
        <v>1014</v>
      </c>
      <c r="F108" s="46" t="s">
        <v>730</v>
      </c>
      <c r="G108" s="46">
        <v>2.0</v>
      </c>
      <c r="H108" s="46" t="s">
        <v>895</v>
      </c>
      <c r="I108" s="46" t="s">
        <v>732</v>
      </c>
      <c r="J108" s="46" t="s">
        <v>832</v>
      </c>
      <c r="K108" s="47">
        <v>0.68</v>
      </c>
      <c r="L108" s="46" t="s">
        <v>646</v>
      </c>
      <c r="M108" s="48" t="s">
        <v>1471</v>
      </c>
      <c r="N108" s="46" t="s">
        <v>1472</v>
      </c>
      <c r="O108" s="46">
        <v>29.0</v>
      </c>
      <c r="P108" s="49">
        <v>46026.0</v>
      </c>
      <c r="Q108" s="50" t="s">
        <v>1473</v>
      </c>
      <c r="R108" s="50" t="s">
        <v>1474</v>
      </c>
      <c r="S108" s="50" t="s">
        <v>1475</v>
      </c>
      <c r="T108" s="46" t="s">
        <v>739</v>
      </c>
    </row>
    <row r="109">
      <c r="A109" s="46" t="s">
        <v>1476</v>
      </c>
      <c r="B109" s="46" t="s">
        <v>1436</v>
      </c>
      <c r="C109" s="46" t="s">
        <v>1421</v>
      </c>
      <c r="D109" s="46">
        <v>38.0</v>
      </c>
      <c r="E109" s="46" t="s">
        <v>77</v>
      </c>
      <c r="F109" s="46" t="s">
        <v>730</v>
      </c>
      <c r="G109" s="46">
        <v>15.0</v>
      </c>
      <c r="H109" s="46" t="s">
        <v>721</v>
      </c>
      <c r="I109" s="46" t="s">
        <v>659</v>
      </c>
      <c r="J109" s="46" t="s">
        <v>722</v>
      </c>
      <c r="K109" s="47">
        <v>0.98</v>
      </c>
      <c r="L109" s="46" t="s">
        <v>659</v>
      </c>
      <c r="M109" s="48" t="s">
        <v>1477</v>
      </c>
      <c r="N109" s="46" t="s">
        <v>1478</v>
      </c>
      <c r="O109" s="46">
        <v>740.0</v>
      </c>
      <c r="P109" s="46" t="s">
        <v>801</v>
      </c>
      <c r="Q109" s="50" t="s">
        <v>1479</v>
      </c>
      <c r="R109" s="50" t="s">
        <v>1480</v>
      </c>
      <c r="S109" s="50" t="s">
        <v>1481</v>
      </c>
      <c r="T109" s="46" t="s">
        <v>718</v>
      </c>
    </row>
    <row r="110">
      <c r="A110" s="46" t="s">
        <v>1482</v>
      </c>
      <c r="B110" s="46" t="s">
        <v>1436</v>
      </c>
      <c r="C110" s="46" t="s">
        <v>1428</v>
      </c>
      <c r="D110" s="46">
        <v>28.0</v>
      </c>
      <c r="E110" s="46" t="s">
        <v>99</v>
      </c>
      <c r="F110" s="46" t="s">
        <v>730</v>
      </c>
      <c r="G110" s="46">
        <v>5.0</v>
      </c>
      <c r="H110" s="46" t="s">
        <v>762</v>
      </c>
      <c r="I110" s="46" t="s">
        <v>646</v>
      </c>
      <c r="J110" s="46" t="s">
        <v>918</v>
      </c>
      <c r="K110" s="47">
        <v>0.85</v>
      </c>
      <c r="L110" s="46" t="s">
        <v>659</v>
      </c>
      <c r="M110" s="48" t="s">
        <v>1483</v>
      </c>
      <c r="N110" s="46" t="s">
        <v>1484</v>
      </c>
      <c r="O110" s="46">
        <v>148.0</v>
      </c>
      <c r="P110" s="49">
        <v>46177.0</v>
      </c>
      <c r="Q110" s="50" t="s">
        <v>1485</v>
      </c>
      <c r="R110" s="50" t="s">
        <v>1486</v>
      </c>
      <c r="S110" s="50" t="s">
        <v>1487</v>
      </c>
      <c r="T110" s="46" t="s">
        <v>718</v>
      </c>
    </row>
    <row r="111">
      <c r="A111" s="46" t="s">
        <v>1488</v>
      </c>
      <c r="B111" s="46" t="s">
        <v>1436</v>
      </c>
      <c r="C111" s="46" t="s">
        <v>1087</v>
      </c>
      <c r="D111" s="46">
        <v>30.0</v>
      </c>
      <c r="E111" s="46" t="s">
        <v>170</v>
      </c>
      <c r="F111" s="46" t="s">
        <v>730</v>
      </c>
      <c r="G111" s="46">
        <v>6.0</v>
      </c>
      <c r="H111" s="46" t="s">
        <v>941</v>
      </c>
      <c r="I111" s="46" t="s">
        <v>646</v>
      </c>
      <c r="J111" s="46" t="s">
        <v>772</v>
      </c>
      <c r="K111" s="47">
        <v>0.88</v>
      </c>
      <c r="L111" s="46" t="s">
        <v>659</v>
      </c>
      <c r="M111" s="48" t="s">
        <v>1489</v>
      </c>
      <c r="N111" s="46" t="s">
        <v>1490</v>
      </c>
      <c r="O111" s="46">
        <v>210.0</v>
      </c>
      <c r="P111" s="49">
        <v>46207.0</v>
      </c>
      <c r="Q111" s="50" t="s">
        <v>1491</v>
      </c>
      <c r="R111" s="50" t="s">
        <v>1492</v>
      </c>
      <c r="S111" s="50" t="s">
        <v>1493</v>
      </c>
      <c r="T111" s="46" t="s">
        <v>718</v>
      </c>
    </row>
    <row r="112">
      <c r="A112" s="46" t="s">
        <v>1494</v>
      </c>
      <c r="B112" s="46" t="s">
        <v>1495</v>
      </c>
      <c r="C112" s="46" t="s">
        <v>1370</v>
      </c>
      <c r="D112" s="46">
        <v>23.0</v>
      </c>
      <c r="E112" s="46" t="s">
        <v>44</v>
      </c>
      <c r="F112" s="46" t="s">
        <v>730</v>
      </c>
      <c r="G112" s="46">
        <v>2.0</v>
      </c>
      <c r="H112" s="46" t="s">
        <v>731</v>
      </c>
      <c r="I112" s="46" t="s">
        <v>732</v>
      </c>
      <c r="J112" s="46" t="s">
        <v>1496</v>
      </c>
      <c r="K112" s="47">
        <v>0.72</v>
      </c>
      <c r="L112" s="46" t="s">
        <v>646</v>
      </c>
      <c r="M112" s="48" t="s">
        <v>1497</v>
      </c>
      <c r="N112" s="46" t="s">
        <v>1498</v>
      </c>
      <c r="O112" s="46">
        <v>48.0</v>
      </c>
      <c r="P112" s="49">
        <v>46057.0</v>
      </c>
      <c r="Q112" s="50" t="s">
        <v>1499</v>
      </c>
      <c r="R112" s="50" t="s">
        <v>1500</v>
      </c>
      <c r="S112" s="50" t="s">
        <v>1501</v>
      </c>
      <c r="T112" s="46" t="s">
        <v>739</v>
      </c>
    </row>
    <row r="113">
      <c r="A113" s="46" t="s">
        <v>1502</v>
      </c>
      <c r="B113" s="46" t="s">
        <v>1495</v>
      </c>
      <c r="C113" s="46" t="s">
        <v>821</v>
      </c>
      <c r="D113" s="46">
        <v>28.0</v>
      </c>
      <c r="E113" s="46" t="s">
        <v>147</v>
      </c>
      <c r="F113" s="46" t="s">
        <v>730</v>
      </c>
      <c r="G113" s="46">
        <v>5.0</v>
      </c>
      <c r="H113" s="46" t="s">
        <v>822</v>
      </c>
      <c r="I113" s="46" t="s">
        <v>646</v>
      </c>
      <c r="J113" s="46" t="s">
        <v>789</v>
      </c>
      <c r="K113" s="47">
        <v>0.86</v>
      </c>
      <c r="L113" s="46" t="s">
        <v>659</v>
      </c>
      <c r="M113" s="48" t="s">
        <v>1503</v>
      </c>
      <c r="N113" s="46" t="s">
        <v>1504</v>
      </c>
      <c r="O113" s="46">
        <v>176.0</v>
      </c>
      <c r="P113" s="49">
        <v>46177.0</v>
      </c>
      <c r="Q113" s="50" t="s">
        <v>1505</v>
      </c>
      <c r="R113" s="50" t="s">
        <v>1506</v>
      </c>
      <c r="S113" s="50" t="s">
        <v>1507</v>
      </c>
      <c r="T113" s="46" t="s">
        <v>718</v>
      </c>
    </row>
    <row r="114">
      <c r="A114" s="46" t="s">
        <v>1508</v>
      </c>
      <c r="B114" s="46" t="s">
        <v>1495</v>
      </c>
      <c r="C114" s="46" t="s">
        <v>855</v>
      </c>
      <c r="D114" s="46">
        <v>31.0</v>
      </c>
      <c r="E114" s="46" t="s">
        <v>57</v>
      </c>
      <c r="F114" s="46" t="s">
        <v>730</v>
      </c>
      <c r="G114" s="46">
        <v>7.0</v>
      </c>
      <c r="H114" s="46" t="s">
        <v>848</v>
      </c>
      <c r="I114" s="46" t="s">
        <v>659</v>
      </c>
      <c r="J114" s="46" t="s">
        <v>743</v>
      </c>
      <c r="K114" s="47">
        <v>0.91</v>
      </c>
      <c r="L114" s="46" t="s">
        <v>659</v>
      </c>
      <c r="M114" s="48" t="s">
        <v>1509</v>
      </c>
      <c r="N114" s="46" t="s">
        <v>1510</v>
      </c>
      <c r="O114" s="46">
        <v>310.0</v>
      </c>
      <c r="P114" s="49">
        <v>46238.0</v>
      </c>
      <c r="Q114" s="50" t="s">
        <v>1511</v>
      </c>
      <c r="R114" s="50" t="s">
        <v>1512</v>
      </c>
      <c r="S114" s="50" t="s">
        <v>1513</v>
      </c>
      <c r="T114" s="46" t="s">
        <v>718</v>
      </c>
    </row>
    <row r="115">
      <c r="A115" s="46" t="s">
        <v>1514</v>
      </c>
      <c r="B115" s="46" t="s">
        <v>1495</v>
      </c>
      <c r="C115" s="46" t="s">
        <v>830</v>
      </c>
      <c r="D115" s="46">
        <v>25.0</v>
      </c>
      <c r="E115" s="46" t="s">
        <v>232</v>
      </c>
      <c r="F115" s="46" t="s">
        <v>730</v>
      </c>
      <c r="G115" s="46">
        <v>3.0</v>
      </c>
      <c r="H115" s="46" t="s">
        <v>788</v>
      </c>
      <c r="I115" s="46" t="s">
        <v>646</v>
      </c>
      <c r="J115" s="46" t="s">
        <v>832</v>
      </c>
      <c r="K115" s="47">
        <v>0.79</v>
      </c>
      <c r="L115" s="46" t="s">
        <v>646</v>
      </c>
      <c r="M115" s="48" t="s">
        <v>1515</v>
      </c>
      <c r="N115" s="46" t="s">
        <v>1516</v>
      </c>
      <c r="O115" s="46">
        <v>84.0</v>
      </c>
      <c r="P115" s="49">
        <v>46116.0</v>
      </c>
      <c r="Q115" s="50" t="s">
        <v>1517</v>
      </c>
      <c r="R115" s="50" t="s">
        <v>1518</v>
      </c>
      <c r="S115" s="50" t="s">
        <v>1519</v>
      </c>
      <c r="T115" s="46" t="s">
        <v>739</v>
      </c>
    </row>
    <row r="116">
      <c r="A116" s="46" t="s">
        <v>1520</v>
      </c>
      <c r="B116" s="46" t="s">
        <v>1495</v>
      </c>
      <c r="C116" s="46" t="s">
        <v>839</v>
      </c>
      <c r="D116" s="46">
        <v>20.0</v>
      </c>
      <c r="E116" s="46" t="s">
        <v>108</v>
      </c>
      <c r="F116" s="46" t="s">
        <v>730</v>
      </c>
      <c r="G116" s="46">
        <v>1.0</v>
      </c>
      <c r="H116" s="46" t="s">
        <v>751</v>
      </c>
      <c r="I116" s="46" t="s">
        <v>732</v>
      </c>
      <c r="J116" s="46" t="s">
        <v>752</v>
      </c>
      <c r="K116" s="47">
        <v>0.58</v>
      </c>
      <c r="L116" s="46" t="s">
        <v>753</v>
      </c>
      <c r="M116" s="48" t="s">
        <v>1521</v>
      </c>
      <c r="N116" s="46" t="s">
        <v>1522</v>
      </c>
      <c r="O116" s="46">
        <v>12.0</v>
      </c>
      <c r="P116" s="49">
        <v>46237.0</v>
      </c>
      <c r="Q116" s="50" t="s">
        <v>1523</v>
      </c>
      <c r="R116" s="50" t="s">
        <v>1524</v>
      </c>
      <c r="S116" s="50" t="s">
        <v>1198</v>
      </c>
      <c r="T116" s="46" t="s">
        <v>759</v>
      </c>
    </row>
    <row r="117">
      <c r="A117" s="46" t="s">
        <v>1525</v>
      </c>
      <c r="B117" s="46" t="s">
        <v>1495</v>
      </c>
      <c r="C117" s="46" t="s">
        <v>1079</v>
      </c>
      <c r="D117" s="46">
        <v>34.0</v>
      </c>
      <c r="E117" s="46" t="s">
        <v>1014</v>
      </c>
      <c r="F117" s="46" t="s">
        <v>730</v>
      </c>
      <c r="G117" s="46">
        <v>9.0</v>
      </c>
      <c r="H117" s="46" t="s">
        <v>903</v>
      </c>
      <c r="I117" s="46" t="s">
        <v>659</v>
      </c>
      <c r="J117" s="46" t="s">
        <v>743</v>
      </c>
      <c r="K117" s="47">
        <v>0.95</v>
      </c>
      <c r="L117" s="46" t="s">
        <v>659</v>
      </c>
      <c r="M117" s="48" t="s">
        <v>1526</v>
      </c>
      <c r="N117" s="46" t="s">
        <v>1527</v>
      </c>
      <c r="O117" s="46">
        <v>420.0</v>
      </c>
      <c r="P117" s="49">
        <v>46269.0</v>
      </c>
      <c r="Q117" s="50" t="s">
        <v>1528</v>
      </c>
      <c r="R117" s="50" t="s">
        <v>1529</v>
      </c>
      <c r="S117" s="50" t="s">
        <v>1530</v>
      </c>
      <c r="T117" s="46" t="s">
        <v>718</v>
      </c>
    </row>
    <row r="118">
      <c r="A118" s="46" t="s">
        <v>1531</v>
      </c>
      <c r="B118" s="46" t="s">
        <v>1495</v>
      </c>
      <c r="C118" s="46" t="s">
        <v>1087</v>
      </c>
      <c r="D118" s="46">
        <v>27.0</v>
      </c>
      <c r="E118" s="46" t="s">
        <v>1022</v>
      </c>
      <c r="F118" s="46" t="s">
        <v>730</v>
      </c>
      <c r="G118" s="46">
        <v>4.0</v>
      </c>
      <c r="H118" s="46" t="s">
        <v>856</v>
      </c>
      <c r="I118" s="46" t="s">
        <v>646</v>
      </c>
      <c r="J118" s="46" t="s">
        <v>789</v>
      </c>
      <c r="K118" s="47">
        <v>0.82</v>
      </c>
      <c r="L118" s="46" t="s">
        <v>659</v>
      </c>
      <c r="M118" s="48" t="s">
        <v>1532</v>
      </c>
      <c r="N118" s="46" t="s">
        <v>1533</v>
      </c>
      <c r="O118" s="46">
        <v>132.0</v>
      </c>
      <c r="P118" s="49">
        <v>46146.0</v>
      </c>
      <c r="Q118" s="50" t="s">
        <v>1534</v>
      </c>
      <c r="R118" s="50" t="s">
        <v>1535</v>
      </c>
      <c r="S118" s="50" t="s">
        <v>1536</v>
      </c>
      <c r="T118" s="46" t="s">
        <v>718</v>
      </c>
    </row>
    <row r="119">
      <c r="A119" s="46" t="s">
        <v>1537</v>
      </c>
      <c r="B119" s="46" t="s">
        <v>1495</v>
      </c>
      <c r="C119" s="46" t="s">
        <v>863</v>
      </c>
      <c r="D119" s="46">
        <v>22.0</v>
      </c>
      <c r="E119" s="46" t="s">
        <v>1414</v>
      </c>
      <c r="F119" s="46" t="s">
        <v>730</v>
      </c>
      <c r="G119" s="46">
        <v>2.0</v>
      </c>
      <c r="H119" s="46" t="s">
        <v>864</v>
      </c>
      <c r="I119" s="46" t="s">
        <v>732</v>
      </c>
      <c r="J119" s="46" t="s">
        <v>832</v>
      </c>
      <c r="K119" s="47">
        <v>0.67</v>
      </c>
      <c r="L119" s="46" t="s">
        <v>646</v>
      </c>
      <c r="M119" s="48" t="s">
        <v>1538</v>
      </c>
      <c r="N119" s="46" t="s">
        <v>1539</v>
      </c>
      <c r="O119" s="46">
        <v>28.0</v>
      </c>
      <c r="P119" s="49">
        <v>46026.0</v>
      </c>
      <c r="Q119" s="50" t="s">
        <v>1540</v>
      </c>
      <c r="R119" s="50" t="s">
        <v>1541</v>
      </c>
      <c r="S119" s="50" t="s">
        <v>1542</v>
      </c>
      <c r="T119" s="46" t="s">
        <v>739</v>
      </c>
    </row>
    <row r="120">
      <c r="A120" s="46" t="s">
        <v>1543</v>
      </c>
      <c r="B120" s="46" t="s">
        <v>1495</v>
      </c>
      <c r="C120" s="46" t="s">
        <v>1029</v>
      </c>
      <c r="D120" s="46">
        <v>38.0</v>
      </c>
      <c r="E120" s="46" t="s">
        <v>77</v>
      </c>
      <c r="F120" s="46" t="s">
        <v>730</v>
      </c>
      <c r="G120" s="46">
        <v>14.0</v>
      </c>
      <c r="H120" s="46" t="s">
        <v>721</v>
      </c>
      <c r="I120" s="46" t="s">
        <v>659</v>
      </c>
      <c r="J120" s="46" t="s">
        <v>722</v>
      </c>
      <c r="K120" s="47">
        <v>0.97</v>
      </c>
      <c r="L120" s="46" t="s">
        <v>659</v>
      </c>
      <c r="M120" s="48" t="s">
        <v>1544</v>
      </c>
      <c r="N120" s="46" t="s">
        <v>1545</v>
      </c>
      <c r="O120" s="46">
        <v>710.0</v>
      </c>
      <c r="P120" s="46" t="s">
        <v>801</v>
      </c>
      <c r="Q120" s="50" t="s">
        <v>1546</v>
      </c>
      <c r="R120" s="50" t="s">
        <v>1547</v>
      </c>
      <c r="S120" s="50" t="s">
        <v>1548</v>
      </c>
      <c r="T120" s="46" t="s">
        <v>718</v>
      </c>
    </row>
    <row r="121">
      <c r="A121" s="46" t="s">
        <v>1549</v>
      </c>
      <c r="B121" s="46" t="s">
        <v>1495</v>
      </c>
      <c r="C121" s="46" t="s">
        <v>1428</v>
      </c>
      <c r="D121" s="46">
        <v>29.0</v>
      </c>
      <c r="E121" s="46" t="s">
        <v>99</v>
      </c>
      <c r="F121" s="46" t="s">
        <v>730</v>
      </c>
      <c r="G121" s="46">
        <v>6.0</v>
      </c>
      <c r="H121" s="46" t="s">
        <v>1429</v>
      </c>
      <c r="I121" s="46" t="s">
        <v>646</v>
      </c>
      <c r="J121" s="46" t="s">
        <v>918</v>
      </c>
      <c r="K121" s="47">
        <v>0.85</v>
      </c>
      <c r="L121" s="46" t="s">
        <v>659</v>
      </c>
      <c r="M121" s="48" t="s">
        <v>1550</v>
      </c>
      <c r="N121" s="46" t="s">
        <v>1551</v>
      </c>
      <c r="O121" s="46">
        <v>148.0</v>
      </c>
      <c r="P121" s="49">
        <v>46177.0</v>
      </c>
      <c r="Q121" s="50" t="s">
        <v>1552</v>
      </c>
      <c r="R121" s="50" t="s">
        <v>1553</v>
      </c>
      <c r="S121" s="50" t="s">
        <v>1210</v>
      </c>
      <c r="T121" s="46" t="s">
        <v>718</v>
      </c>
    </row>
    <row r="122">
      <c r="A122" s="46" t="s">
        <v>1554</v>
      </c>
      <c r="B122" s="46" t="s">
        <v>518</v>
      </c>
      <c r="C122" s="46" t="s">
        <v>1555</v>
      </c>
      <c r="D122" s="46">
        <v>21.0</v>
      </c>
      <c r="E122" s="46" t="s">
        <v>44</v>
      </c>
      <c r="F122" s="46" t="s">
        <v>730</v>
      </c>
      <c r="G122" s="46">
        <v>2.0</v>
      </c>
      <c r="H122" s="46" t="s">
        <v>751</v>
      </c>
      <c r="I122" s="46" t="s">
        <v>732</v>
      </c>
      <c r="J122" s="46" t="s">
        <v>1556</v>
      </c>
      <c r="K122" s="47">
        <v>0.65</v>
      </c>
      <c r="L122" s="46" t="s">
        <v>646</v>
      </c>
      <c r="M122" s="48" t="s">
        <v>1557</v>
      </c>
      <c r="N122" s="46" t="s">
        <v>1558</v>
      </c>
      <c r="O122" s="46">
        <v>34.0</v>
      </c>
      <c r="P122" s="49">
        <v>46026.0</v>
      </c>
      <c r="Q122" s="50" t="s">
        <v>1559</v>
      </c>
      <c r="R122" s="50" t="s">
        <v>1560</v>
      </c>
      <c r="S122" s="50" t="s">
        <v>1561</v>
      </c>
      <c r="T122" s="46" t="s">
        <v>739</v>
      </c>
    </row>
    <row r="123">
      <c r="A123" s="46" t="s">
        <v>1562</v>
      </c>
      <c r="B123" s="46" t="s">
        <v>518</v>
      </c>
      <c r="C123" s="46" t="s">
        <v>709</v>
      </c>
      <c r="D123" s="46">
        <v>25.0</v>
      </c>
      <c r="E123" s="46" t="s">
        <v>147</v>
      </c>
      <c r="F123" s="46" t="s">
        <v>730</v>
      </c>
      <c r="G123" s="46">
        <v>4.0</v>
      </c>
      <c r="H123" s="46" t="s">
        <v>788</v>
      </c>
      <c r="I123" s="46" t="s">
        <v>646</v>
      </c>
      <c r="J123" s="46" t="s">
        <v>789</v>
      </c>
      <c r="K123" s="47">
        <v>0.82</v>
      </c>
      <c r="L123" s="46" t="s">
        <v>659</v>
      </c>
      <c r="M123" s="48" t="s">
        <v>1563</v>
      </c>
      <c r="N123" s="46" t="s">
        <v>1564</v>
      </c>
      <c r="O123" s="46">
        <v>96.0</v>
      </c>
      <c r="P123" s="49">
        <v>46177.0</v>
      </c>
      <c r="Q123" s="50" t="s">
        <v>1565</v>
      </c>
      <c r="R123" s="50" t="s">
        <v>1566</v>
      </c>
      <c r="S123" s="50" t="s">
        <v>1567</v>
      </c>
      <c r="T123" s="46" t="s">
        <v>718</v>
      </c>
    </row>
    <row r="124">
      <c r="A124" s="46" t="s">
        <v>1568</v>
      </c>
      <c r="B124" s="46" t="s">
        <v>518</v>
      </c>
      <c r="C124" s="46" t="s">
        <v>1251</v>
      </c>
      <c r="D124" s="46">
        <v>29.0</v>
      </c>
      <c r="E124" s="46" t="s">
        <v>57</v>
      </c>
      <c r="F124" s="46" t="s">
        <v>730</v>
      </c>
      <c r="G124" s="46">
        <v>6.0</v>
      </c>
      <c r="H124" s="46" t="s">
        <v>711</v>
      </c>
      <c r="I124" s="46" t="s">
        <v>646</v>
      </c>
      <c r="J124" s="46" t="s">
        <v>772</v>
      </c>
      <c r="K124" s="47">
        <v>0.88</v>
      </c>
      <c r="L124" s="46" t="s">
        <v>659</v>
      </c>
      <c r="M124" s="48" t="s">
        <v>1569</v>
      </c>
      <c r="N124" s="46" t="s">
        <v>1570</v>
      </c>
      <c r="O124" s="46">
        <v>210.0</v>
      </c>
      <c r="P124" s="49">
        <v>46207.0</v>
      </c>
      <c r="Q124" s="50" t="s">
        <v>1571</v>
      </c>
      <c r="R124" s="50" t="s">
        <v>1572</v>
      </c>
      <c r="S124" s="50" t="s">
        <v>1573</v>
      </c>
      <c r="T124" s="46" t="s">
        <v>718</v>
      </c>
    </row>
    <row r="125">
      <c r="A125" s="46" t="s">
        <v>1574</v>
      </c>
      <c r="B125" s="46" t="s">
        <v>518</v>
      </c>
      <c r="C125" s="46" t="s">
        <v>729</v>
      </c>
      <c r="D125" s="46">
        <v>19.0</v>
      </c>
      <c r="E125" s="46" t="s">
        <v>232</v>
      </c>
      <c r="F125" s="46" t="s">
        <v>730</v>
      </c>
      <c r="G125" s="46">
        <v>1.0</v>
      </c>
      <c r="H125" s="46" t="s">
        <v>840</v>
      </c>
      <c r="I125" s="46" t="s">
        <v>732</v>
      </c>
      <c r="J125" s="46" t="s">
        <v>752</v>
      </c>
      <c r="K125" s="47">
        <v>0.55</v>
      </c>
      <c r="L125" s="46" t="s">
        <v>753</v>
      </c>
      <c r="M125" s="48" t="s">
        <v>1575</v>
      </c>
      <c r="N125" s="46" t="s">
        <v>1576</v>
      </c>
      <c r="O125" s="46">
        <v>9.0</v>
      </c>
      <c r="P125" s="49">
        <v>46206.0</v>
      </c>
      <c r="Q125" s="50" t="s">
        <v>1577</v>
      </c>
      <c r="R125" s="50" t="s">
        <v>1578</v>
      </c>
      <c r="S125" s="50" t="s">
        <v>1579</v>
      </c>
      <c r="T125" s="46" t="s">
        <v>759</v>
      </c>
    </row>
    <row r="126">
      <c r="A126" s="46" t="s">
        <v>1580</v>
      </c>
      <c r="B126" s="46" t="s">
        <v>518</v>
      </c>
      <c r="C126" s="46" t="s">
        <v>955</v>
      </c>
      <c r="D126" s="46">
        <v>33.0</v>
      </c>
      <c r="E126" s="46" t="s">
        <v>44</v>
      </c>
      <c r="F126" s="46" t="s">
        <v>730</v>
      </c>
      <c r="G126" s="46">
        <v>9.0</v>
      </c>
      <c r="H126" s="46" t="s">
        <v>742</v>
      </c>
      <c r="I126" s="46" t="s">
        <v>659</v>
      </c>
      <c r="J126" s="46" t="s">
        <v>918</v>
      </c>
      <c r="K126" s="47">
        <v>0.94</v>
      </c>
      <c r="L126" s="46" t="s">
        <v>659</v>
      </c>
      <c r="M126" s="48" t="s">
        <v>1581</v>
      </c>
      <c r="N126" s="46" t="s">
        <v>1582</v>
      </c>
      <c r="O126" s="46">
        <v>420.0</v>
      </c>
      <c r="P126" s="49">
        <v>46269.0</v>
      </c>
      <c r="Q126" s="50" t="s">
        <v>1583</v>
      </c>
      <c r="R126" s="50" t="s">
        <v>1584</v>
      </c>
      <c r="S126" s="50" t="s">
        <v>1585</v>
      </c>
      <c r="T126" s="46" t="s">
        <v>718</v>
      </c>
    </row>
    <row r="127">
      <c r="A127" s="46" t="s">
        <v>1586</v>
      </c>
      <c r="B127" s="46" t="s">
        <v>518</v>
      </c>
      <c r="C127" s="46" t="s">
        <v>830</v>
      </c>
      <c r="D127" s="46">
        <v>24.0</v>
      </c>
      <c r="E127" s="46" t="s">
        <v>1022</v>
      </c>
      <c r="F127" s="46" t="s">
        <v>730</v>
      </c>
      <c r="G127" s="46">
        <v>3.0</v>
      </c>
      <c r="H127" s="46" t="s">
        <v>831</v>
      </c>
      <c r="I127" s="46" t="s">
        <v>646</v>
      </c>
      <c r="J127" s="46" t="s">
        <v>832</v>
      </c>
      <c r="K127" s="47">
        <v>0.76</v>
      </c>
      <c r="L127" s="46" t="s">
        <v>646</v>
      </c>
      <c r="M127" s="48" t="s">
        <v>1587</v>
      </c>
      <c r="N127" s="46" t="s">
        <v>1588</v>
      </c>
      <c r="O127" s="46">
        <v>58.0</v>
      </c>
      <c r="P127" s="49">
        <v>46085.0</v>
      </c>
      <c r="Q127" s="50" t="s">
        <v>1589</v>
      </c>
      <c r="R127" s="50" t="s">
        <v>1590</v>
      </c>
      <c r="S127" s="50" t="s">
        <v>1591</v>
      </c>
      <c r="T127" s="46" t="s">
        <v>739</v>
      </c>
    </row>
    <row r="128">
      <c r="A128" s="46" t="s">
        <v>1592</v>
      </c>
      <c r="B128" s="46" t="s">
        <v>518</v>
      </c>
      <c r="C128" s="46" t="s">
        <v>1345</v>
      </c>
      <c r="D128" s="46">
        <v>27.0</v>
      </c>
      <c r="E128" s="46" t="s">
        <v>1014</v>
      </c>
      <c r="F128" s="46" t="s">
        <v>730</v>
      </c>
      <c r="G128" s="46">
        <v>5.0</v>
      </c>
      <c r="H128" s="46" t="s">
        <v>762</v>
      </c>
      <c r="I128" s="46" t="s">
        <v>646</v>
      </c>
      <c r="J128" s="46" t="s">
        <v>733</v>
      </c>
      <c r="K128" s="47">
        <v>0.84</v>
      </c>
      <c r="L128" s="46" t="s">
        <v>659</v>
      </c>
      <c r="M128" s="48" t="s">
        <v>1593</v>
      </c>
      <c r="N128" s="46" t="s">
        <v>1594</v>
      </c>
      <c r="O128" s="46">
        <v>140.0</v>
      </c>
      <c r="P128" s="49">
        <v>46146.0</v>
      </c>
      <c r="Q128" s="50" t="s">
        <v>1595</v>
      </c>
      <c r="R128" s="50" t="s">
        <v>1596</v>
      </c>
      <c r="S128" s="50" t="s">
        <v>1597</v>
      </c>
      <c r="T128" s="46" t="s">
        <v>718</v>
      </c>
    </row>
    <row r="129">
      <c r="A129" s="46" t="s">
        <v>1598</v>
      </c>
      <c r="B129" s="46" t="s">
        <v>518</v>
      </c>
      <c r="C129" s="46" t="s">
        <v>863</v>
      </c>
      <c r="D129" s="46">
        <v>22.0</v>
      </c>
      <c r="E129" s="46" t="s">
        <v>1414</v>
      </c>
      <c r="F129" s="46" t="s">
        <v>730</v>
      </c>
      <c r="G129" s="46">
        <v>2.0</v>
      </c>
      <c r="H129" s="46" t="s">
        <v>895</v>
      </c>
      <c r="I129" s="46" t="s">
        <v>732</v>
      </c>
      <c r="J129" s="46" t="s">
        <v>832</v>
      </c>
      <c r="K129" s="47">
        <v>0.68</v>
      </c>
      <c r="L129" s="46" t="s">
        <v>646</v>
      </c>
      <c r="M129" s="48" t="s">
        <v>1599</v>
      </c>
      <c r="N129" s="46" t="s">
        <v>1600</v>
      </c>
      <c r="O129" s="46">
        <v>22.0</v>
      </c>
      <c r="P129" s="46" t="s">
        <v>881</v>
      </c>
      <c r="Q129" s="50" t="s">
        <v>1601</v>
      </c>
      <c r="R129" s="50" t="s">
        <v>1602</v>
      </c>
      <c r="S129" s="50" t="s">
        <v>1419</v>
      </c>
      <c r="T129" s="46" t="s">
        <v>739</v>
      </c>
    </row>
    <row r="130">
      <c r="A130" s="46" t="s">
        <v>1603</v>
      </c>
      <c r="B130" s="46" t="s">
        <v>518</v>
      </c>
      <c r="C130" s="46" t="s">
        <v>948</v>
      </c>
      <c r="D130" s="46">
        <v>35.0</v>
      </c>
      <c r="E130" s="46" t="s">
        <v>77</v>
      </c>
      <c r="F130" s="46" t="s">
        <v>730</v>
      </c>
      <c r="G130" s="46">
        <v>11.0</v>
      </c>
      <c r="H130" s="46" t="s">
        <v>848</v>
      </c>
      <c r="I130" s="46" t="s">
        <v>659</v>
      </c>
      <c r="J130" s="46" t="s">
        <v>918</v>
      </c>
      <c r="K130" s="47">
        <v>0.96</v>
      </c>
      <c r="L130" s="46" t="s">
        <v>659</v>
      </c>
      <c r="M130" s="48" t="s">
        <v>1604</v>
      </c>
      <c r="N130" s="46" t="s">
        <v>1605</v>
      </c>
      <c r="O130" s="46">
        <v>510.0</v>
      </c>
      <c r="P130" s="49">
        <v>46269.0</v>
      </c>
      <c r="Q130" s="50" t="s">
        <v>1606</v>
      </c>
      <c r="R130" s="50" t="s">
        <v>1607</v>
      </c>
      <c r="S130" s="50" t="s">
        <v>1608</v>
      </c>
      <c r="T130" s="46" t="s">
        <v>718</v>
      </c>
    </row>
    <row r="131">
      <c r="A131" s="46" t="s">
        <v>1609</v>
      </c>
      <c r="B131" s="46" t="s">
        <v>518</v>
      </c>
      <c r="C131" s="46" t="s">
        <v>1610</v>
      </c>
      <c r="D131" s="46">
        <v>28.0</v>
      </c>
      <c r="E131" s="46" t="s">
        <v>99</v>
      </c>
      <c r="F131" s="46" t="s">
        <v>730</v>
      </c>
      <c r="G131" s="46">
        <v>4.0</v>
      </c>
      <c r="H131" s="46" t="s">
        <v>771</v>
      </c>
      <c r="I131" s="46" t="s">
        <v>646</v>
      </c>
      <c r="J131" s="46" t="s">
        <v>789</v>
      </c>
      <c r="K131" s="47">
        <v>0.83</v>
      </c>
      <c r="L131" s="46" t="s">
        <v>659</v>
      </c>
      <c r="M131" s="48" t="s">
        <v>1611</v>
      </c>
      <c r="N131" s="46" t="s">
        <v>1612</v>
      </c>
      <c r="O131" s="46">
        <v>118.0</v>
      </c>
      <c r="P131" s="49">
        <v>46177.0</v>
      </c>
      <c r="Q131" s="50" t="s">
        <v>1613</v>
      </c>
      <c r="R131" s="50" t="s">
        <v>1614</v>
      </c>
      <c r="S131" s="50" t="s">
        <v>1615</v>
      </c>
      <c r="T131" s="46" t="s">
        <v>718</v>
      </c>
    </row>
    <row r="132">
      <c r="A132" s="46" t="s">
        <v>1616</v>
      </c>
      <c r="B132" s="46" t="s">
        <v>1617</v>
      </c>
      <c r="C132" s="46" t="s">
        <v>1618</v>
      </c>
      <c r="D132" s="46">
        <v>24.0</v>
      </c>
      <c r="E132" s="46" t="s">
        <v>44</v>
      </c>
      <c r="F132" s="46" t="s">
        <v>730</v>
      </c>
      <c r="G132" s="46">
        <v>2.0</v>
      </c>
      <c r="H132" s="46" t="s">
        <v>864</v>
      </c>
      <c r="I132" s="46" t="s">
        <v>732</v>
      </c>
      <c r="J132" s="46" t="s">
        <v>1619</v>
      </c>
      <c r="K132" s="47">
        <v>0.7</v>
      </c>
      <c r="L132" s="46" t="s">
        <v>646</v>
      </c>
      <c r="M132" s="48" t="s">
        <v>1620</v>
      </c>
      <c r="N132" s="46" t="s">
        <v>1621</v>
      </c>
      <c r="O132" s="46">
        <v>58.0</v>
      </c>
      <c r="P132" s="49">
        <v>46057.0</v>
      </c>
      <c r="Q132" s="50" t="s">
        <v>1622</v>
      </c>
      <c r="R132" s="50" t="s">
        <v>1623</v>
      </c>
      <c r="S132" s="50" t="s">
        <v>1624</v>
      </c>
      <c r="T132" s="46" t="s">
        <v>739</v>
      </c>
    </row>
    <row r="133">
      <c r="A133" s="46" t="s">
        <v>1625</v>
      </c>
      <c r="B133" s="46" t="s">
        <v>1617</v>
      </c>
      <c r="C133" s="46" t="s">
        <v>910</v>
      </c>
      <c r="D133" s="46">
        <v>31.0</v>
      </c>
      <c r="E133" s="46" t="s">
        <v>147</v>
      </c>
      <c r="F133" s="46" t="s">
        <v>730</v>
      </c>
      <c r="G133" s="46">
        <v>7.0</v>
      </c>
      <c r="H133" s="46" t="s">
        <v>711</v>
      </c>
      <c r="I133" s="46" t="s">
        <v>646</v>
      </c>
      <c r="J133" s="46" t="s">
        <v>1626</v>
      </c>
      <c r="K133" s="47">
        <v>0.88</v>
      </c>
      <c r="L133" s="46" t="s">
        <v>659</v>
      </c>
      <c r="M133" s="48" t="s">
        <v>1627</v>
      </c>
      <c r="N133" s="46" t="s">
        <v>1628</v>
      </c>
      <c r="O133" s="46">
        <v>320.0</v>
      </c>
      <c r="P133" s="49">
        <v>46207.0</v>
      </c>
      <c r="Q133" s="50" t="s">
        <v>1629</v>
      </c>
      <c r="R133" s="50" t="s">
        <v>1630</v>
      </c>
      <c r="S133" s="50" t="s">
        <v>1631</v>
      </c>
      <c r="T133" s="46" t="s">
        <v>718</v>
      </c>
    </row>
    <row r="134">
      <c r="A134" s="46" t="s">
        <v>1632</v>
      </c>
      <c r="B134" s="46" t="s">
        <v>1617</v>
      </c>
      <c r="C134" s="46" t="s">
        <v>1108</v>
      </c>
      <c r="D134" s="46">
        <v>27.0</v>
      </c>
      <c r="E134" s="46" t="s">
        <v>57</v>
      </c>
      <c r="F134" s="46" t="s">
        <v>730</v>
      </c>
      <c r="G134" s="46">
        <v>4.0</v>
      </c>
      <c r="H134" s="46" t="s">
        <v>788</v>
      </c>
      <c r="I134" s="46" t="s">
        <v>646</v>
      </c>
      <c r="J134" s="46" t="s">
        <v>733</v>
      </c>
      <c r="K134" s="47">
        <v>0.82</v>
      </c>
      <c r="L134" s="46" t="s">
        <v>659</v>
      </c>
      <c r="M134" s="48" t="s">
        <v>1633</v>
      </c>
      <c r="N134" s="46" t="s">
        <v>1634</v>
      </c>
      <c r="O134" s="46">
        <v>140.0</v>
      </c>
      <c r="P134" s="49">
        <v>46146.0</v>
      </c>
      <c r="Q134" s="50" t="s">
        <v>1635</v>
      </c>
      <c r="R134" s="50" t="s">
        <v>1636</v>
      </c>
      <c r="S134" s="50" t="s">
        <v>1637</v>
      </c>
      <c r="T134" s="46" t="s">
        <v>718</v>
      </c>
    </row>
    <row r="135">
      <c r="A135" s="46" t="s">
        <v>1638</v>
      </c>
      <c r="B135" s="46" t="s">
        <v>1617</v>
      </c>
      <c r="C135" s="46" t="s">
        <v>878</v>
      </c>
      <c r="D135" s="46">
        <v>20.0</v>
      </c>
      <c r="E135" s="46" t="s">
        <v>232</v>
      </c>
      <c r="F135" s="46" t="s">
        <v>730</v>
      </c>
      <c r="G135" s="46">
        <v>1.0</v>
      </c>
      <c r="H135" s="46" t="s">
        <v>879</v>
      </c>
      <c r="I135" s="46" t="s">
        <v>732</v>
      </c>
      <c r="J135" s="46" t="s">
        <v>752</v>
      </c>
      <c r="K135" s="47">
        <v>0.55</v>
      </c>
      <c r="L135" s="46" t="s">
        <v>753</v>
      </c>
      <c r="M135" s="48" t="s">
        <v>1639</v>
      </c>
      <c r="N135" s="46" t="s">
        <v>1640</v>
      </c>
      <c r="O135" s="46">
        <v>12.0</v>
      </c>
      <c r="P135" s="49">
        <v>46237.0</v>
      </c>
      <c r="Q135" s="50" t="s">
        <v>1641</v>
      </c>
      <c r="R135" s="50" t="s">
        <v>1642</v>
      </c>
      <c r="S135" s="50" t="s">
        <v>1198</v>
      </c>
      <c r="T135" s="46" t="s">
        <v>759</v>
      </c>
    </row>
    <row r="136">
      <c r="A136" s="46" t="s">
        <v>1643</v>
      </c>
      <c r="B136" s="46" t="s">
        <v>1617</v>
      </c>
      <c r="C136" s="46" t="s">
        <v>1644</v>
      </c>
      <c r="D136" s="46">
        <v>39.0</v>
      </c>
      <c r="E136" s="46" t="s">
        <v>44</v>
      </c>
      <c r="F136" s="46" t="s">
        <v>730</v>
      </c>
      <c r="G136" s="46">
        <v>15.0</v>
      </c>
      <c r="H136" s="46" t="s">
        <v>848</v>
      </c>
      <c r="I136" s="46" t="s">
        <v>659</v>
      </c>
      <c r="J136" s="46" t="s">
        <v>1626</v>
      </c>
      <c r="K136" s="47">
        <v>0.95</v>
      </c>
      <c r="L136" s="46" t="s">
        <v>659</v>
      </c>
      <c r="M136" s="48" t="s">
        <v>1645</v>
      </c>
      <c r="N136" s="46" t="s">
        <v>1646</v>
      </c>
      <c r="O136" s="46">
        <v>610.0</v>
      </c>
      <c r="P136" s="49">
        <v>46269.0</v>
      </c>
      <c r="Q136" s="50" t="s">
        <v>1647</v>
      </c>
      <c r="R136" s="50" t="s">
        <v>1648</v>
      </c>
      <c r="S136" s="50" t="s">
        <v>1608</v>
      </c>
      <c r="T136" s="46" t="s">
        <v>718</v>
      </c>
    </row>
    <row r="137">
      <c r="A137" s="46" t="s">
        <v>1649</v>
      </c>
      <c r="B137" s="46" t="s">
        <v>1617</v>
      </c>
      <c r="C137" s="46" t="s">
        <v>830</v>
      </c>
      <c r="D137" s="46">
        <v>26.0</v>
      </c>
      <c r="E137" s="46" t="s">
        <v>1022</v>
      </c>
      <c r="F137" s="46" t="s">
        <v>730</v>
      </c>
      <c r="G137" s="46">
        <v>3.0</v>
      </c>
      <c r="H137" s="46" t="s">
        <v>831</v>
      </c>
      <c r="I137" s="46" t="s">
        <v>646</v>
      </c>
      <c r="J137" s="46" t="s">
        <v>832</v>
      </c>
      <c r="K137" s="47">
        <v>0.75</v>
      </c>
      <c r="L137" s="46" t="s">
        <v>646</v>
      </c>
      <c r="M137" s="48" t="s">
        <v>1650</v>
      </c>
      <c r="N137" s="46" t="s">
        <v>1651</v>
      </c>
      <c r="O137" s="46">
        <v>64.0</v>
      </c>
      <c r="P137" s="49">
        <v>46085.0</v>
      </c>
      <c r="Q137" s="50" t="s">
        <v>1652</v>
      </c>
      <c r="R137" s="50" t="s">
        <v>1653</v>
      </c>
      <c r="S137" s="50" t="s">
        <v>1654</v>
      </c>
      <c r="T137" s="46" t="s">
        <v>739</v>
      </c>
    </row>
    <row r="138">
      <c r="A138" s="46" t="s">
        <v>1655</v>
      </c>
      <c r="B138" s="46" t="s">
        <v>1617</v>
      </c>
      <c r="C138" s="46" t="s">
        <v>1087</v>
      </c>
      <c r="D138" s="46">
        <v>34.0</v>
      </c>
      <c r="E138" s="46" t="s">
        <v>1014</v>
      </c>
      <c r="F138" s="46" t="s">
        <v>730</v>
      </c>
      <c r="G138" s="46">
        <v>9.0</v>
      </c>
      <c r="H138" s="46" t="s">
        <v>822</v>
      </c>
      <c r="I138" s="46" t="s">
        <v>646</v>
      </c>
      <c r="J138" s="46" t="s">
        <v>1656</v>
      </c>
      <c r="K138" s="47">
        <v>0.9</v>
      </c>
      <c r="L138" s="46" t="s">
        <v>659</v>
      </c>
      <c r="M138" s="48" t="s">
        <v>1657</v>
      </c>
      <c r="N138" s="46" t="s">
        <v>1658</v>
      </c>
      <c r="O138" s="46">
        <v>410.0</v>
      </c>
      <c r="P138" s="49">
        <v>46238.0</v>
      </c>
      <c r="Q138" s="50" t="s">
        <v>1659</v>
      </c>
      <c r="R138" s="50" t="s">
        <v>1660</v>
      </c>
      <c r="S138" s="50" t="s">
        <v>1661</v>
      </c>
      <c r="T138" s="46" t="s">
        <v>718</v>
      </c>
    </row>
    <row r="139">
      <c r="A139" s="46" t="s">
        <v>1662</v>
      </c>
      <c r="B139" s="46" t="s">
        <v>1617</v>
      </c>
      <c r="C139" s="46" t="s">
        <v>863</v>
      </c>
      <c r="D139" s="46">
        <v>23.0</v>
      </c>
      <c r="E139" s="46" t="s">
        <v>1414</v>
      </c>
      <c r="F139" s="46" t="s">
        <v>730</v>
      </c>
      <c r="G139" s="46">
        <v>2.0</v>
      </c>
      <c r="H139" s="46" t="s">
        <v>895</v>
      </c>
      <c r="I139" s="46" t="s">
        <v>732</v>
      </c>
      <c r="J139" s="46" t="s">
        <v>832</v>
      </c>
      <c r="K139" s="47">
        <v>0.68</v>
      </c>
      <c r="L139" s="46" t="s">
        <v>646</v>
      </c>
      <c r="M139" s="48" t="s">
        <v>1663</v>
      </c>
      <c r="N139" s="46" t="s">
        <v>1664</v>
      </c>
      <c r="O139" s="46">
        <v>28.0</v>
      </c>
      <c r="P139" s="49">
        <v>46026.0</v>
      </c>
      <c r="Q139" s="50" t="s">
        <v>1665</v>
      </c>
      <c r="R139" s="50" t="s">
        <v>1666</v>
      </c>
      <c r="S139" s="50" t="s">
        <v>1667</v>
      </c>
      <c r="T139" s="46" t="s">
        <v>739</v>
      </c>
    </row>
    <row r="140">
      <c r="A140" s="46" t="s">
        <v>1668</v>
      </c>
      <c r="B140" s="46" t="s">
        <v>1617</v>
      </c>
      <c r="C140" s="46" t="s">
        <v>1013</v>
      </c>
      <c r="D140" s="46">
        <v>42.0</v>
      </c>
      <c r="E140" s="46" t="s">
        <v>77</v>
      </c>
      <c r="F140" s="46" t="s">
        <v>730</v>
      </c>
      <c r="G140" s="46">
        <v>18.0</v>
      </c>
      <c r="H140" s="46" t="s">
        <v>903</v>
      </c>
      <c r="I140" s="46" t="s">
        <v>659</v>
      </c>
      <c r="J140" s="46" t="s">
        <v>1669</v>
      </c>
      <c r="K140" s="47">
        <v>0.97</v>
      </c>
      <c r="L140" s="46" t="s">
        <v>659</v>
      </c>
      <c r="M140" s="48" t="s">
        <v>1670</v>
      </c>
      <c r="N140" s="46" t="s">
        <v>1671</v>
      </c>
      <c r="O140" s="46">
        <v>820.0</v>
      </c>
      <c r="P140" s="46" t="s">
        <v>801</v>
      </c>
      <c r="Q140" s="50" t="s">
        <v>1672</v>
      </c>
      <c r="R140" s="50" t="s">
        <v>1673</v>
      </c>
      <c r="S140" s="50" t="s">
        <v>1548</v>
      </c>
      <c r="T140" s="46" t="s">
        <v>718</v>
      </c>
    </row>
    <row r="141">
      <c r="A141" s="46" t="s">
        <v>1674</v>
      </c>
      <c r="B141" s="46" t="s">
        <v>1617</v>
      </c>
      <c r="C141" s="46" t="s">
        <v>1428</v>
      </c>
      <c r="D141" s="46">
        <v>29.0</v>
      </c>
      <c r="E141" s="46" t="s">
        <v>99</v>
      </c>
      <c r="F141" s="46" t="s">
        <v>730</v>
      </c>
      <c r="G141" s="46">
        <v>5.0</v>
      </c>
      <c r="H141" s="46" t="s">
        <v>762</v>
      </c>
      <c r="I141" s="46" t="s">
        <v>646</v>
      </c>
      <c r="J141" s="46" t="s">
        <v>789</v>
      </c>
      <c r="K141" s="47">
        <v>0.85</v>
      </c>
      <c r="L141" s="46" t="s">
        <v>659</v>
      </c>
      <c r="M141" s="48" t="s">
        <v>1675</v>
      </c>
      <c r="N141" s="46" t="s">
        <v>1676</v>
      </c>
      <c r="O141" s="46">
        <v>148.0</v>
      </c>
      <c r="P141" s="49">
        <v>46177.0</v>
      </c>
      <c r="Q141" s="50" t="s">
        <v>1677</v>
      </c>
      <c r="R141" s="50" t="s">
        <v>1678</v>
      </c>
      <c r="S141" s="50" t="s">
        <v>1679</v>
      </c>
      <c r="T141" s="46" t="s">
        <v>718</v>
      </c>
    </row>
    <row r="142">
      <c r="A142" s="46" t="s">
        <v>1680</v>
      </c>
      <c r="B142" s="46" t="s">
        <v>1681</v>
      </c>
      <c r="C142" s="46" t="s">
        <v>1333</v>
      </c>
      <c r="D142" s="46">
        <v>27.0</v>
      </c>
      <c r="E142" s="46" t="s">
        <v>44</v>
      </c>
      <c r="F142" s="46" t="s">
        <v>730</v>
      </c>
      <c r="G142" s="46">
        <v>4.0</v>
      </c>
      <c r="H142" s="46" t="s">
        <v>711</v>
      </c>
      <c r="I142" s="46" t="s">
        <v>646</v>
      </c>
      <c r="J142" s="46" t="s">
        <v>918</v>
      </c>
      <c r="K142" s="47">
        <v>0.84</v>
      </c>
      <c r="L142" s="46" t="s">
        <v>659</v>
      </c>
      <c r="M142" s="48" t="s">
        <v>1682</v>
      </c>
      <c r="N142" s="46" t="s">
        <v>1683</v>
      </c>
      <c r="O142" s="46">
        <v>96.0</v>
      </c>
      <c r="P142" s="49">
        <v>46177.0</v>
      </c>
      <c r="Q142" s="50" t="s">
        <v>1684</v>
      </c>
      <c r="R142" s="50" t="s">
        <v>1685</v>
      </c>
      <c r="S142" s="50" t="s">
        <v>1686</v>
      </c>
      <c r="T142" s="46" t="s">
        <v>718</v>
      </c>
    </row>
    <row r="143">
      <c r="A143" s="46" t="s">
        <v>1687</v>
      </c>
      <c r="B143" s="46" t="s">
        <v>1681</v>
      </c>
      <c r="C143" s="46" t="s">
        <v>1688</v>
      </c>
      <c r="D143" s="46">
        <v>34.0</v>
      </c>
      <c r="E143" s="46" t="s">
        <v>147</v>
      </c>
      <c r="F143" s="46" t="s">
        <v>730</v>
      </c>
      <c r="G143" s="46">
        <v>9.0</v>
      </c>
      <c r="H143" s="46" t="s">
        <v>721</v>
      </c>
      <c r="I143" s="46" t="s">
        <v>659</v>
      </c>
      <c r="J143" s="46" t="s">
        <v>722</v>
      </c>
      <c r="K143" s="47">
        <v>0.95</v>
      </c>
      <c r="L143" s="46" t="s">
        <v>659</v>
      </c>
      <c r="M143" s="46" t="s">
        <v>1689</v>
      </c>
      <c r="N143" s="46" t="s">
        <v>1690</v>
      </c>
      <c r="O143" s="46">
        <v>420.0</v>
      </c>
      <c r="P143" s="49">
        <v>46269.0</v>
      </c>
      <c r="Q143" s="50" t="s">
        <v>1691</v>
      </c>
      <c r="R143" s="50" t="s">
        <v>1692</v>
      </c>
      <c r="S143" s="50" t="s">
        <v>1693</v>
      </c>
      <c r="T143" s="46" t="s">
        <v>718</v>
      </c>
    </row>
    <row r="144">
      <c r="A144" s="46" t="s">
        <v>1694</v>
      </c>
      <c r="B144" s="46" t="s">
        <v>1681</v>
      </c>
      <c r="C144" s="46" t="s">
        <v>814</v>
      </c>
      <c r="D144" s="46">
        <v>24.0</v>
      </c>
      <c r="E144" s="46" t="s">
        <v>232</v>
      </c>
      <c r="F144" s="46" t="s">
        <v>730</v>
      </c>
      <c r="G144" s="46">
        <v>2.0</v>
      </c>
      <c r="H144" s="46" t="s">
        <v>831</v>
      </c>
      <c r="I144" s="46" t="s">
        <v>646</v>
      </c>
      <c r="J144" s="46" t="s">
        <v>832</v>
      </c>
      <c r="K144" s="47">
        <v>0.72</v>
      </c>
      <c r="L144" s="46" t="s">
        <v>646</v>
      </c>
      <c r="M144" s="48" t="s">
        <v>1695</v>
      </c>
      <c r="N144" s="46" t="s">
        <v>1696</v>
      </c>
      <c r="O144" s="46">
        <v>34.0</v>
      </c>
      <c r="P144" s="49">
        <v>46057.0</v>
      </c>
      <c r="Q144" s="50" t="s">
        <v>1697</v>
      </c>
      <c r="R144" s="50" t="s">
        <v>1698</v>
      </c>
      <c r="S144" s="50" t="s">
        <v>1699</v>
      </c>
      <c r="T144" s="46" t="s">
        <v>739</v>
      </c>
    </row>
    <row r="145">
      <c r="A145" s="46" t="s">
        <v>1700</v>
      </c>
      <c r="B145" s="46" t="s">
        <v>1681</v>
      </c>
      <c r="C145" s="46" t="s">
        <v>1701</v>
      </c>
      <c r="D145" s="46">
        <v>41.0</v>
      </c>
      <c r="E145" s="46" t="s">
        <v>44</v>
      </c>
      <c r="F145" s="46" t="s">
        <v>730</v>
      </c>
      <c r="G145" s="46">
        <v>15.0</v>
      </c>
      <c r="H145" s="46" t="s">
        <v>1346</v>
      </c>
      <c r="I145" s="46" t="s">
        <v>659</v>
      </c>
      <c r="J145" s="46" t="s">
        <v>722</v>
      </c>
      <c r="K145" s="47">
        <v>0.98</v>
      </c>
      <c r="L145" s="46" t="s">
        <v>659</v>
      </c>
      <c r="M145" s="48" t="s">
        <v>1702</v>
      </c>
      <c r="N145" s="46" t="s">
        <v>1703</v>
      </c>
      <c r="O145" s="46">
        <v>820.0</v>
      </c>
      <c r="P145" s="46" t="s">
        <v>801</v>
      </c>
      <c r="Q145" s="50" t="s">
        <v>1704</v>
      </c>
      <c r="R145" s="50" t="s">
        <v>1705</v>
      </c>
      <c r="S145" s="50" t="s">
        <v>1706</v>
      </c>
      <c r="T145" s="46" t="s">
        <v>718</v>
      </c>
    </row>
    <row r="146">
      <c r="A146" s="46" t="s">
        <v>1707</v>
      </c>
      <c r="B146" s="46" t="s">
        <v>1681</v>
      </c>
      <c r="C146" s="46" t="s">
        <v>830</v>
      </c>
      <c r="D146" s="46">
        <v>28.0</v>
      </c>
      <c r="E146" s="46" t="s">
        <v>1022</v>
      </c>
      <c r="F146" s="46" t="s">
        <v>730</v>
      </c>
      <c r="G146" s="46">
        <v>5.0</v>
      </c>
      <c r="H146" s="46" t="s">
        <v>822</v>
      </c>
      <c r="I146" s="46" t="s">
        <v>646</v>
      </c>
      <c r="J146" s="46" t="s">
        <v>918</v>
      </c>
      <c r="K146" s="47">
        <v>0.86</v>
      </c>
      <c r="L146" s="46" t="s">
        <v>659</v>
      </c>
      <c r="M146" s="48" t="s">
        <v>1708</v>
      </c>
      <c r="N146" s="46" t="s">
        <v>1709</v>
      </c>
      <c r="O146" s="46">
        <v>148.0</v>
      </c>
      <c r="P146" s="49">
        <v>46207.0</v>
      </c>
      <c r="Q146" s="50" t="s">
        <v>1710</v>
      </c>
      <c r="R146" s="50" t="s">
        <v>1711</v>
      </c>
      <c r="S146" s="50" t="s">
        <v>1712</v>
      </c>
      <c r="T146" s="46" t="s">
        <v>718</v>
      </c>
    </row>
    <row r="147">
      <c r="A147" s="46" t="s">
        <v>1713</v>
      </c>
      <c r="B147" s="46" t="s">
        <v>1681</v>
      </c>
      <c r="C147" s="46" t="s">
        <v>839</v>
      </c>
      <c r="D147" s="46">
        <v>23.0</v>
      </c>
      <c r="E147" s="46" t="s">
        <v>108</v>
      </c>
      <c r="F147" s="46" t="s">
        <v>730</v>
      </c>
      <c r="G147" s="46">
        <v>1.0</v>
      </c>
      <c r="H147" s="46" t="s">
        <v>895</v>
      </c>
      <c r="I147" s="46" t="s">
        <v>732</v>
      </c>
      <c r="J147" s="46" t="s">
        <v>752</v>
      </c>
      <c r="K147" s="47">
        <v>0.58</v>
      </c>
      <c r="L147" s="46" t="s">
        <v>753</v>
      </c>
      <c r="M147" s="48" t="s">
        <v>1714</v>
      </c>
      <c r="N147" s="46" t="s">
        <v>1715</v>
      </c>
      <c r="O147" s="46">
        <v>12.0</v>
      </c>
      <c r="P147" s="49">
        <v>46268.0</v>
      </c>
      <c r="Q147" s="50" t="s">
        <v>1716</v>
      </c>
      <c r="R147" s="50" t="s">
        <v>1717</v>
      </c>
      <c r="S147" s="50" t="s">
        <v>1198</v>
      </c>
      <c r="T147" s="46" t="s">
        <v>759</v>
      </c>
    </row>
    <row r="148">
      <c r="A148" s="46" t="s">
        <v>1718</v>
      </c>
      <c r="B148" s="46" t="s">
        <v>1681</v>
      </c>
      <c r="C148" s="46" t="s">
        <v>1079</v>
      </c>
      <c r="D148" s="46">
        <v>36.0</v>
      </c>
      <c r="E148" s="46" t="s">
        <v>1014</v>
      </c>
      <c r="F148" s="46" t="s">
        <v>730</v>
      </c>
      <c r="G148" s="46">
        <v>11.0</v>
      </c>
      <c r="H148" s="46" t="s">
        <v>1187</v>
      </c>
      <c r="I148" s="46" t="s">
        <v>659</v>
      </c>
      <c r="J148" s="46" t="s">
        <v>722</v>
      </c>
      <c r="K148" s="47">
        <v>0.96</v>
      </c>
      <c r="L148" s="46" t="s">
        <v>659</v>
      </c>
      <c r="M148" s="46" t="s">
        <v>1719</v>
      </c>
      <c r="N148" s="46" t="s">
        <v>1720</v>
      </c>
      <c r="O148" s="46">
        <v>510.0</v>
      </c>
      <c r="P148" s="49">
        <v>46269.0</v>
      </c>
      <c r="Q148" s="50" t="s">
        <v>1721</v>
      </c>
      <c r="R148" s="50" t="s">
        <v>1722</v>
      </c>
      <c r="S148" s="50" t="s">
        <v>1723</v>
      </c>
      <c r="T148" s="46" t="s">
        <v>718</v>
      </c>
    </row>
    <row r="149">
      <c r="A149" s="46" t="s">
        <v>1724</v>
      </c>
      <c r="B149" s="46" t="s">
        <v>1681</v>
      </c>
      <c r="C149" s="46" t="s">
        <v>863</v>
      </c>
      <c r="D149" s="46">
        <v>22.0</v>
      </c>
      <c r="E149" s="46" t="s">
        <v>1414</v>
      </c>
      <c r="F149" s="46" t="s">
        <v>730</v>
      </c>
      <c r="G149" s="46">
        <v>2.0</v>
      </c>
      <c r="H149" s="46" t="s">
        <v>731</v>
      </c>
      <c r="I149" s="46" t="s">
        <v>646</v>
      </c>
      <c r="J149" s="46" t="s">
        <v>832</v>
      </c>
      <c r="K149" s="47">
        <v>0.7</v>
      </c>
      <c r="L149" s="46" t="s">
        <v>646</v>
      </c>
      <c r="M149" s="48" t="s">
        <v>1725</v>
      </c>
      <c r="N149" s="46" t="s">
        <v>1726</v>
      </c>
      <c r="O149" s="46">
        <v>28.0</v>
      </c>
      <c r="P149" s="49">
        <v>46026.0</v>
      </c>
      <c r="Q149" s="50" t="s">
        <v>1727</v>
      </c>
      <c r="R149" s="50" t="s">
        <v>1728</v>
      </c>
      <c r="S149" s="50" t="s">
        <v>1729</v>
      </c>
      <c r="T149" s="46" t="s">
        <v>739</v>
      </c>
    </row>
    <row r="150">
      <c r="A150" s="46" t="s">
        <v>1730</v>
      </c>
      <c r="B150" s="46" t="s">
        <v>1681</v>
      </c>
      <c r="C150" s="46" t="s">
        <v>1029</v>
      </c>
      <c r="D150" s="46">
        <v>39.0</v>
      </c>
      <c r="E150" s="46" t="s">
        <v>77</v>
      </c>
      <c r="F150" s="46" t="s">
        <v>730</v>
      </c>
      <c r="G150" s="46">
        <v>14.0</v>
      </c>
      <c r="H150" s="46" t="s">
        <v>1030</v>
      </c>
      <c r="I150" s="46" t="s">
        <v>659</v>
      </c>
      <c r="J150" s="46" t="s">
        <v>722</v>
      </c>
      <c r="K150" s="47">
        <v>0.97</v>
      </c>
      <c r="L150" s="46" t="s">
        <v>659</v>
      </c>
      <c r="M150" s="48" t="s">
        <v>1731</v>
      </c>
      <c r="N150" s="46" t="s">
        <v>1732</v>
      </c>
      <c r="O150" s="46">
        <v>710.0</v>
      </c>
      <c r="P150" s="46" t="s">
        <v>801</v>
      </c>
      <c r="Q150" s="50" t="s">
        <v>1733</v>
      </c>
      <c r="R150" s="50" t="s">
        <v>1734</v>
      </c>
      <c r="S150" s="50" t="s">
        <v>1735</v>
      </c>
      <c r="T150" s="46" t="s">
        <v>718</v>
      </c>
    </row>
    <row r="151">
      <c r="A151" s="46" t="s">
        <v>1736</v>
      </c>
      <c r="B151" s="46" t="s">
        <v>1681</v>
      </c>
      <c r="C151" s="46" t="s">
        <v>1428</v>
      </c>
      <c r="D151" s="46">
        <v>30.0</v>
      </c>
      <c r="E151" s="46" t="s">
        <v>99</v>
      </c>
      <c r="F151" s="46" t="s">
        <v>730</v>
      </c>
      <c r="G151" s="46">
        <v>6.0</v>
      </c>
      <c r="H151" s="46" t="s">
        <v>848</v>
      </c>
      <c r="I151" s="46" t="s">
        <v>646</v>
      </c>
      <c r="J151" s="46" t="s">
        <v>918</v>
      </c>
      <c r="K151" s="47">
        <v>0.88</v>
      </c>
      <c r="L151" s="46" t="s">
        <v>659</v>
      </c>
      <c r="M151" s="48" t="s">
        <v>1737</v>
      </c>
      <c r="N151" s="46" t="s">
        <v>1738</v>
      </c>
      <c r="O151" s="46">
        <v>188.0</v>
      </c>
      <c r="P151" s="49">
        <v>46207.0</v>
      </c>
      <c r="Q151" s="50" t="s">
        <v>1739</v>
      </c>
      <c r="R151" s="50" t="s">
        <v>1740</v>
      </c>
      <c r="S151" s="50" t="s">
        <v>1741</v>
      </c>
      <c r="T151" s="46" t="s">
        <v>718</v>
      </c>
    </row>
    <row r="152">
      <c r="A152" s="46" t="s">
        <v>1742</v>
      </c>
      <c r="B152" s="46" t="s">
        <v>1743</v>
      </c>
      <c r="C152" s="46" t="s">
        <v>910</v>
      </c>
      <c r="D152" s="46">
        <v>26.0</v>
      </c>
      <c r="E152" s="46" t="s">
        <v>44</v>
      </c>
      <c r="F152" s="46" t="s">
        <v>730</v>
      </c>
      <c r="G152" s="46">
        <v>3.0</v>
      </c>
      <c r="H152" s="46" t="s">
        <v>788</v>
      </c>
      <c r="I152" s="46" t="s">
        <v>646</v>
      </c>
      <c r="J152" s="46" t="s">
        <v>1744</v>
      </c>
      <c r="K152" s="47">
        <v>0.82</v>
      </c>
      <c r="L152" s="46" t="s">
        <v>659</v>
      </c>
      <c r="M152" s="48" t="s">
        <v>1745</v>
      </c>
      <c r="N152" s="46" t="s">
        <v>1746</v>
      </c>
      <c r="O152" s="46">
        <v>96.0</v>
      </c>
      <c r="P152" s="49">
        <v>46146.0</v>
      </c>
      <c r="Q152" s="50" t="s">
        <v>1747</v>
      </c>
      <c r="R152" s="50" t="s">
        <v>1748</v>
      </c>
      <c r="S152" s="50" t="s">
        <v>1749</v>
      </c>
      <c r="T152" s="46" t="s">
        <v>718</v>
      </c>
    </row>
    <row r="153">
      <c r="A153" s="46" t="s">
        <v>1750</v>
      </c>
      <c r="B153" s="46" t="s">
        <v>1743</v>
      </c>
      <c r="C153" s="46" t="s">
        <v>1059</v>
      </c>
      <c r="D153" s="46">
        <v>34.0</v>
      </c>
      <c r="E153" s="46" t="s">
        <v>147</v>
      </c>
      <c r="F153" s="46" t="s">
        <v>730</v>
      </c>
      <c r="G153" s="46">
        <v>9.0</v>
      </c>
      <c r="H153" s="46" t="s">
        <v>742</v>
      </c>
      <c r="I153" s="46" t="s">
        <v>659</v>
      </c>
      <c r="J153" s="46" t="s">
        <v>772</v>
      </c>
      <c r="K153" s="47">
        <v>0.94</v>
      </c>
      <c r="L153" s="46" t="s">
        <v>659</v>
      </c>
      <c r="M153" s="48" t="s">
        <v>1751</v>
      </c>
      <c r="N153" s="46" t="s">
        <v>1752</v>
      </c>
      <c r="O153" s="46">
        <v>420.0</v>
      </c>
      <c r="P153" s="49">
        <v>46269.0</v>
      </c>
      <c r="Q153" s="50" t="s">
        <v>1753</v>
      </c>
      <c r="R153" s="50" t="s">
        <v>1754</v>
      </c>
      <c r="S153" s="50" t="s">
        <v>1755</v>
      </c>
      <c r="T153" s="46" t="s">
        <v>718</v>
      </c>
    </row>
    <row r="154">
      <c r="A154" s="46" t="s">
        <v>1756</v>
      </c>
      <c r="B154" s="46" t="s">
        <v>1743</v>
      </c>
      <c r="C154" s="46" t="s">
        <v>878</v>
      </c>
      <c r="D154" s="46">
        <v>22.0</v>
      </c>
      <c r="E154" s="46" t="s">
        <v>232</v>
      </c>
      <c r="F154" s="46" t="s">
        <v>730</v>
      </c>
      <c r="G154" s="46">
        <v>1.0</v>
      </c>
      <c r="H154" s="46" t="s">
        <v>751</v>
      </c>
      <c r="I154" s="46" t="s">
        <v>732</v>
      </c>
      <c r="J154" s="46" t="s">
        <v>832</v>
      </c>
      <c r="K154" s="47">
        <v>0.6</v>
      </c>
      <c r="L154" s="46" t="s">
        <v>646</v>
      </c>
      <c r="M154" s="48" t="s">
        <v>1757</v>
      </c>
      <c r="N154" s="46" t="s">
        <v>1758</v>
      </c>
      <c r="O154" s="46">
        <v>18.0</v>
      </c>
      <c r="P154" s="46" t="s">
        <v>881</v>
      </c>
      <c r="Q154" s="50" t="s">
        <v>1759</v>
      </c>
      <c r="R154" s="50" t="s">
        <v>1760</v>
      </c>
      <c r="S154" s="50" t="s">
        <v>1198</v>
      </c>
      <c r="T154" s="46" t="s">
        <v>739</v>
      </c>
    </row>
    <row r="155">
      <c r="A155" s="46" t="s">
        <v>1761</v>
      </c>
      <c r="B155" s="46" t="s">
        <v>1743</v>
      </c>
      <c r="C155" s="46" t="s">
        <v>1013</v>
      </c>
      <c r="D155" s="46">
        <v>41.0</v>
      </c>
      <c r="E155" s="46" t="s">
        <v>44</v>
      </c>
      <c r="F155" s="46" t="s">
        <v>730</v>
      </c>
      <c r="G155" s="46">
        <v>16.0</v>
      </c>
      <c r="H155" s="46" t="s">
        <v>1187</v>
      </c>
      <c r="I155" s="46" t="s">
        <v>659</v>
      </c>
      <c r="J155" s="46" t="s">
        <v>722</v>
      </c>
      <c r="K155" s="47">
        <v>0.98</v>
      </c>
      <c r="L155" s="46" t="s">
        <v>659</v>
      </c>
      <c r="M155" s="48" t="s">
        <v>1762</v>
      </c>
      <c r="N155" s="46" t="s">
        <v>1763</v>
      </c>
      <c r="O155" s="46">
        <v>820.0</v>
      </c>
      <c r="P155" s="46" t="s">
        <v>801</v>
      </c>
      <c r="Q155" s="50" t="s">
        <v>1764</v>
      </c>
      <c r="R155" s="50" t="s">
        <v>1765</v>
      </c>
      <c r="S155" s="50" t="s">
        <v>1766</v>
      </c>
      <c r="T155" s="46" t="s">
        <v>718</v>
      </c>
    </row>
    <row r="156">
      <c r="A156" s="46" t="s">
        <v>1767</v>
      </c>
      <c r="B156" s="46" t="s">
        <v>1743</v>
      </c>
      <c r="C156" s="46" t="s">
        <v>830</v>
      </c>
      <c r="D156" s="46">
        <v>27.0</v>
      </c>
      <c r="E156" s="46" t="s">
        <v>1022</v>
      </c>
      <c r="F156" s="46" t="s">
        <v>730</v>
      </c>
      <c r="G156" s="46">
        <v>4.0</v>
      </c>
      <c r="H156" s="46" t="s">
        <v>762</v>
      </c>
      <c r="I156" s="46" t="s">
        <v>646</v>
      </c>
      <c r="J156" s="46" t="s">
        <v>832</v>
      </c>
      <c r="K156" s="47">
        <v>0.84</v>
      </c>
      <c r="L156" s="46" t="s">
        <v>659</v>
      </c>
      <c r="M156" s="48" t="s">
        <v>1768</v>
      </c>
      <c r="N156" s="46" t="s">
        <v>1769</v>
      </c>
      <c r="O156" s="46">
        <v>118.0</v>
      </c>
      <c r="P156" s="49">
        <v>46177.0</v>
      </c>
      <c r="Q156" s="50" t="s">
        <v>1770</v>
      </c>
      <c r="R156" s="50" t="s">
        <v>1771</v>
      </c>
      <c r="S156" s="50" t="s">
        <v>1772</v>
      </c>
      <c r="T156" s="46" t="s">
        <v>718</v>
      </c>
    </row>
    <row r="157">
      <c r="A157" s="46" t="s">
        <v>1773</v>
      </c>
      <c r="B157" s="46" t="s">
        <v>1743</v>
      </c>
      <c r="C157" s="46" t="s">
        <v>839</v>
      </c>
      <c r="D157" s="46">
        <v>23.0</v>
      </c>
      <c r="E157" s="46" t="s">
        <v>108</v>
      </c>
      <c r="F157" s="46" t="s">
        <v>730</v>
      </c>
      <c r="G157" s="46">
        <v>1.0</v>
      </c>
      <c r="H157" s="46" t="s">
        <v>879</v>
      </c>
      <c r="I157" s="46" t="s">
        <v>732</v>
      </c>
      <c r="J157" s="46" t="s">
        <v>752</v>
      </c>
      <c r="K157" s="47">
        <v>0.55</v>
      </c>
      <c r="L157" s="46" t="s">
        <v>753</v>
      </c>
      <c r="M157" s="48" t="s">
        <v>1774</v>
      </c>
      <c r="N157" s="46" t="s">
        <v>1775</v>
      </c>
      <c r="O157" s="46">
        <v>12.0</v>
      </c>
      <c r="P157" s="49">
        <v>46237.0</v>
      </c>
      <c r="Q157" s="50" t="s">
        <v>1776</v>
      </c>
      <c r="R157" s="50" t="s">
        <v>1777</v>
      </c>
      <c r="S157" s="50" t="s">
        <v>1198</v>
      </c>
      <c r="T157" s="46" t="s">
        <v>759</v>
      </c>
    </row>
    <row r="158">
      <c r="A158" s="46" t="s">
        <v>1778</v>
      </c>
      <c r="B158" s="46" t="s">
        <v>1743</v>
      </c>
      <c r="C158" s="46" t="s">
        <v>1079</v>
      </c>
      <c r="D158" s="46">
        <v>36.0</v>
      </c>
      <c r="E158" s="46" t="s">
        <v>1014</v>
      </c>
      <c r="F158" s="46" t="s">
        <v>730</v>
      </c>
      <c r="G158" s="46">
        <v>11.0</v>
      </c>
      <c r="H158" s="46" t="s">
        <v>903</v>
      </c>
      <c r="I158" s="46" t="s">
        <v>659</v>
      </c>
      <c r="J158" s="46" t="s">
        <v>918</v>
      </c>
      <c r="K158" s="47">
        <v>0.96</v>
      </c>
      <c r="L158" s="46" t="s">
        <v>659</v>
      </c>
      <c r="M158" s="48" t="s">
        <v>1779</v>
      </c>
      <c r="N158" s="46" t="s">
        <v>1780</v>
      </c>
      <c r="O158" s="46">
        <v>510.0</v>
      </c>
      <c r="P158" s="49">
        <v>46269.0</v>
      </c>
      <c r="Q158" s="50" t="s">
        <v>1781</v>
      </c>
      <c r="R158" s="50" t="s">
        <v>1782</v>
      </c>
      <c r="S158" s="50" t="s">
        <v>1783</v>
      </c>
      <c r="T158" s="46" t="s">
        <v>718</v>
      </c>
    </row>
    <row r="159">
      <c r="A159" s="46" t="s">
        <v>1784</v>
      </c>
      <c r="B159" s="46" t="s">
        <v>1743</v>
      </c>
      <c r="C159" s="46" t="s">
        <v>863</v>
      </c>
      <c r="D159" s="46">
        <v>24.0</v>
      </c>
      <c r="E159" s="46" t="s">
        <v>1414</v>
      </c>
      <c r="F159" s="46" t="s">
        <v>730</v>
      </c>
      <c r="G159" s="46">
        <v>2.0</v>
      </c>
      <c r="H159" s="46" t="s">
        <v>731</v>
      </c>
      <c r="I159" s="46" t="s">
        <v>646</v>
      </c>
      <c r="J159" s="46" t="s">
        <v>832</v>
      </c>
      <c r="K159" s="47">
        <v>0.7</v>
      </c>
      <c r="L159" s="46" t="s">
        <v>646</v>
      </c>
      <c r="M159" s="48" t="s">
        <v>1785</v>
      </c>
      <c r="N159" s="46" t="s">
        <v>1786</v>
      </c>
      <c r="O159" s="46">
        <v>28.0</v>
      </c>
      <c r="P159" s="49">
        <v>46026.0</v>
      </c>
      <c r="Q159" s="50" t="s">
        <v>1787</v>
      </c>
      <c r="R159" s="50" t="s">
        <v>1788</v>
      </c>
      <c r="S159" s="50" t="s">
        <v>1789</v>
      </c>
      <c r="T159" s="46" t="s">
        <v>739</v>
      </c>
    </row>
    <row r="160">
      <c r="A160" s="46" t="s">
        <v>1790</v>
      </c>
      <c r="B160" s="46" t="s">
        <v>1743</v>
      </c>
      <c r="C160" s="46" t="s">
        <v>1029</v>
      </c>
      <c r="D160" s="46">
        <v>38.0</v>
      </c>
      <c r="E160" s="46" t="s">
        <v>77</v>
      </c>
      <c r="F160" s="46" t="s">
        <v>730</v>
      </c>
      <c r="G160" s="46">
        <v>14.0</v>
      </c>
      <c r="H160" s="46" t="s">
        <v>721</v>
      </c>
      <c r="I160" s="46" t="s">
        <v>659</v>
      </c>
      <c r="J160" s="46" t="s">
        <v>722</v>
      </c>
      <c r="K160" s="47">
        <v>0.97</v>
      </c>
      <c r="L160" s="46" t="s">
        <v>659</v>
      </c>
      <c r="M160" s="48" t="s">
        <v>1791</v>
      </c>
      <c r="N160" s="46" t="s">
        <v>1792</v>
      </c>
      <c r="O160" s="46">
        <v>710.0</v>
      </c>
      <c r="P160" s="46" t="s">
        <v>801</v>
      </c>
      <c r="Q160" s="50" t="s">
        <v>1793</v>
      </c>
      <c r="R160" s="50" t="s">
        <v>1794</v>
      </c>
      <c r="S160" s="50" t="s">
        <v>1795</v>
      </c>
      <c r="T160" s="46" t="s">
        <v>718</v>
      </c>
    </row>
    <row r="161">
      <c r="A161" s="46" t="s">
        <v>1796</v>
      </c>
      <c r="B161" s="46" t="s">
        <v>1743</v>
      </c>
      <c r="C161" s="46" t="s">
        <v>1428</v>
      </c>
      <c r="D161" s="46">
        <v>29.0</v>
      </c>
      <c r="E161" s="46" t="s">
        <v>99</v>
      </c>
      <c r="F161" s="46" t="s">
        <v>730</v>
      </c>
      <c r="G161" s="46">
        <v>5.0</v>
      </c>
      <c r="H161" s="46" t="s">
        <v>941</v>
      </c>
      <c r="I161" s="46" t="s">
        <v>646</v>
      </c>
      <c r="J161" s="46" t="s">
        <v>918</v>
      </c>
      <c r="K161" s="47">
        <v>0.85</v>
      </c>
      <c r="L161" s="46" t="s">
        <v>659</v>
      </c>
      <c r="M161" s="48" t="s">
        <v>1797</v>
      </c>
      <c r="N161" s="46" t="s">
        <v>1798</v>
      </c>
      <c r="O161" s="46">
        <v>148.0</v>
      </c>
      <c r="P161" s="49">
        <v>46177.0</v>
      </c>
      <c r="Q161" s="50" t="s">
        <v>1799</v>
      </c>
      <c r="R161" s="50" t="s">
        <v>1800</v>
      </c>
      <c r="S161" s="50" t="s">
        <v>1801</v>
      </c>
      <c r="T161" s="46" t="s">
        <v>718</v>
      </c>
    </row>
    <row r="162">
      <c r="A162" s="46" t="s">
        <v>1802</v>
      </c>
      <c r="B162" s="46" t="s">
        <v>438</v>
      </c>
      <c r="C162" s="46" t="s">
        <v>1370</v>
      </c>
      <c r="D162" s="46">
        <v>24.0</v>
      </c>
      <c r="E162" s="46" t="s">
        <v>44</v>
      </c>
      <c r="F162" s="46" t="s">
        <v>1803</v>
      </c>
      <c r="G162" s="46">
        <v>2.0</v>
      </c>
      <c r="H162" s="46" t="s">
        <v>807</v>
      </c>
      <c r="I162" s="46" t="s">
        <v>646</v>
      </c>
      <c r="J162" s="46" t="s">
        <v>789</v>
      </c>
      <c r="K162" s="47">
        <v>0.74</v>
      </c>
      <c r="L162" s="46" t="s">
        <v>646</v>
      </c>
      <c r="M162" s="48" t="s">
        <v>1804</v>
      </c>
      <c r="N162" s="46" t="s">
        <v>1805</v>
      </c>
      <c r="O162" s="46">
        <v>46.0</v>
      </c>
      <c r="P162" s="49">
        <v>46085.0</v>
      </c>
      <c r="Q162" s="50" t="s">
        <v>1806</v>
      </c>
      <c r="R162" s="50" t="s">
        <v>1807</v>
      </c>
      <c r="S162" s="50" t="s">
        <v>1808</v>
      </c>
      <c r="T162" s="46" t="s">
        <v>739</v>
      </c>
    </row>
    <row r="163">
      <c r="A163" s="46" t="s">
        <v>1809</v>
      </c>
      <c r="B163" s="46" t="s">
        <v>431</v>
      </c>
      <c r="C163" s="46" t="s">
        <v>720</v>
      </c>
      <c r="D163" s="46">
        <v>31.0</v>
      </c>
      <c r="E163" s="46" t="s">
        <v>147</v>
      </c>
      <c r="F163" s="46" t="s">
        <v>1803</v>
      </c>
      <c r="G163" s="46">
        <v>7.0</v>
      </c>
      <c r="H163" s="46" t="s">
        <v>742</v>
      </c>
      <c r="I163" s="46" t="s">
        <v>659</v>
      </c>
      <c r="J163" s="46" t="s">
        <v>722</v>
      </c>
      <c r="K163" s="47">
        <v>0.92</v>
      </c>
      <c r="L163" s="46" t="s">
        <v>659</v>
      </c>
      <c r="M163" s="46" t="s">
        <v>1810</v>
      </c>
      <c r="N163" s="46" t="s">
        <v>1811</v>
      </c>
      <c r="O163" s="46">
        <v>340.0</v>
      </c>
      <c r="P163" s="49">
        <v>46238.0</v>
      </c>
      <c r="Q163" s="50" t="s">
        <v>1812</v>
      </c>
      <c r="R163" s="50" t="s">
        <v>1813</v>
      </c>
      <c r="S163" s="50" t="s">
        <v>1814</v>
      </c>
      <c r="T163" s="46" t="s">
        <v>718</v>
      </c>
    </row>
    <row r="164">
      <c r="A164" s="46" t="s">
        <v>1815</v>
      </c>
      <c r="B164" s="46" t="s">
        <v>1816</v>
      </c>
      <c r="C164" s="46" t="s">
        <v>878</v>
      </c>
      <c r="D164" s="46">
        <v>22.0</v>
      </c>
      <c r="E164" s="46" t="s">
        <v>232</v>
      </c>
      <c r="F164" s="46" t="s">
        <v>1803</v>
      </c>
      <c r="G164" s="46">
        <v>1.0</v>
      </c>
      <c r="H164" s="46" t="s">
        <v>895</v>
      </c>
      <c r="I164" s="46" t="s">
        <v>732</v>
      </c>
      <c r="J164" s="46" t="s">
        <v>733</v>
      </c>
      <c r="K164" s="47">
        <v>0.62</v>
      </c>
      <c r="L164" s="46" t="s">
        <v>646</v>
      </c>
      <c r="M164" s="48" t="s">
        <v>1817</v>
      </c>
      <c r="N164" s="46" t="s">
        <v>1818</v>
      </c>
      <c r="O164" s="46">
        <v>18.0</v>
      </c>
      <c r="P164" s="46" t="s">
        <v>881</v>
      </c>
      <c r="Q164" s="50" t="s">
        <v>1819</v>
      </c>
      <c r="R164" s="50" t="s">
        <v>1820</v>
      </c>
      <c r="S164" s="50" t="s">
        <v>1821</v>
      </c>
      <c r="T164" s="46" t="s">
        <v>739</v>
      </c>
    </row>
    <row r="165">
      <c r="A165" s="46" t="s">
        <v>1822</v>
      </c>
      <c r="B165" s="46" t="s">
        <v>1823</v>
      </c>
      <c r="C165" s="46" t="s">
        <v>1079</v>
      </c>
      <c r="D165" s="46">
        <v>36.0</v>
      </c>
      <c r="E165" s="46" t="s">
        <v>1014</v>
      </c>
      <c r="F165" s="46" t="s">
        <v>1803</v>
      </c>
      <c r="G165" s="46">
        <v>12.0</v>
      </c>
      <c r="H165" s="46" t="s">
        <v>1187</v>
      </c>
      <c r="I165" s="46" t="s">
        <v>659</v>
      </c>
      <c r="J165" s="46" t="s">
        <v>1824</v>
      </c>
      <c r="K165" s="47">
        <v>0.97</v>
      </c>
      <c r="L165" s="46" t="s">
        <v>659</v>
      </c>
      <c r="M165" s="46" t="s">
        <v>1825</v>
      </c>
      <c r="N165" s="46" t="s">
        <v>1826</v>
      </c>
      <c r="O165" s="46">
        <v>620.0</v>
      </c>
      <c r="P165" s="46" t="s">
        <v>801</v>
      </c>
      <c r="Q165" s="50" t="s">
        <v>1827</v>
      </c>
      <c r="R165" s="50" t="s">
        <v>1828</v>
      </c>
      <c r="S165" s="50" t="s">
        <v>1829</v>
      </c>
      <c r="T165" s="46" t="s">
        <v>718</v>
      </c>
    </row>
    <row r="166">
      <c r="A166" s="46" t="s">
        <v>1830</v>
      </c>
      <c r="B166" s="46" t="s">
        <v>1831</v>
      </c>
      <c r="C166" s="46" t="s">
        <v>1087</v>
      </c>
      <c r="D166" s="46">
        <v>28.0</v>
      </c>
      <c r="E166" s="46" t="s">
        <v>1022</v>
      </c>
      <c r="F166" s="46" t="s">
        <v>1803</v>
      </c>
      <c r="G166" s="46">
        <v>4.0</v>
      </c>
      <c r="H166" s="46" t="s">
        <v>822</v>
      </c>
      <c r="I166" s="46" t="s">
        <v>646</v>
      </c>
      <c r="J166" s="46" t="s">
        <v>789</v>
      </c>
      <c r="K166" s="47">
        <v>0.85</v>
      </c>
      <c r="L166" s="46" t="s">
        <v>659</v>
      </c>
      <c r="M166" s="48" t="s">
        <v>1832</v>
      </c>
      <c r="N166" s="46" t="s">
        <v>1833</v>
      </c>
      <c r="O166" s="46">
        <v>130.0</v>
      </c>
      <c r="P166" s="49">
        <v>46177.0</v>
      </c>
      <c r="Q166" s="50" t="s">
        <v>1834</v>
      </c>
      <c r="R166" s="50" t="s">
        <v>1835</v>
      </c>
      <c r="S166" s="50" t="s">
        <v>1454</v>
      </c>
      <c r="T166" s="46" t="s">
        <v>718</v>
      </c>
    </row>
    <row r="167">
      <c r="A167" s="46" t="s">
        <v>1836</v>
      </c>
      <c r="B167" s="46" t="s">
        <v>431</v>
      </c>
      <c r="C167" s="46" t="s">
        <v>839</v>
      </c>
      <c r="D167" s="46">
        <v>20.0</v>
      </c>
      <c r="E167" s="46" t="s">
        <v>108</v>
      </c>
      <c r="F167" s="46" t="s">
        <v>1803</v>
      </c>
      <c r="G167" s="46">
        <v>1.0</v>
      </c>
      <c r="H167" s="46" t="s">
        <v>751</v>
      </c>
      <c r="I167" s="46" t="s">
        <v>732</v>
      </c>
      <c r="J167" s="46" t="s">
        <v>752</v>
      </c>
      <c r="K167" s="47">
        <v>0.55</v>
      </c>
      <c r="L167" s="46" t="s">
        <v>753</v>
      </c>
      <c r="M167" s="48" t="s">
        <v>1837</v>
      </c>
      <c r="N167" s="46" t="s">
        <v>1838</v>
      </c>
      <c r="O167" s="46">
        <v>12.0</v>
      </c>
      <c r="P167" s="49">
        <v>46237.0</v>
      </c>
      <c r="Q167" s="50" t="s">
        <v>1839</v>
      </c>
      <c r="R167" s="50" t="s">
        <v>1840</v>
      </c>
      <c r="S167" s="50" t="s">
        <v>1198</v>
      </c>
      <c r="T167" s="46" t="s">
        <v>759</v>
      </c>
    </row>
    <row r="168">
      <c r="A168" s="46" t="s">
        <v>1841</v>
      </c>
      <c r="B168" s="46" t="s">
        <v>1842</v>
      </c>
      <c r="C168" s="46" t="s">
        <v>1186</v>
      </c>
      <c r="D168" s="46">
        <v>33.0</v>
      </c>
      <c r="E168" s="46" t="s">
        <v>57</v>
      </c>
      <c r="F168" s="46" t="s">
        <v>1803</v>
      </c>
      <c r="G168" s="46">
        <v>9.0</v>
      </c>
      <c r="H168" s="46" t="s">
        <v>1080</v>
      </c>
      <c r="I168" s="46" t="s">
        <v>659</v>
      </c>
      <c r="J168" s="46" t="s">
        <v>1843</v>
      </c>
      <c r="K168" s="47">
        <v>0.95</v>
      </c>
      <c r="L168" s="46" t="s">
        <v>659</v>
      </c>
      <c r="M168" s="46" t="s">
        <v>1844</v>
      </c>
      <c r="N168" s="46" t="s">
        <v>1845</v>
      </c>
      <c r="O168" s="46">
        <v>480.0</v>
      </c>
      <c r="P168" s="49">
        <v>46269.0</v>
      </c>
      <c r="Q168" s="50" t="s">
        <v>1846</v>
      </c>
      <c r="R168" s="50" t="s">
        <v>1847</v>
      </c>
      <c r="S168" s="50" t="s">
        <v>1848</v>
      </c>
      <c r="T168" s="46" t="s">
        <v>718</v>
      </c>
    </row>
    <row r="169">
      <c r="A169" s="46" t="s">
        <v>1849</v>
      </c>
      <c r="B169" s="46" t="s">
        <v>1850</v>
      </c>
      <c r="C169" s="46" t="s">
        <v>863</v>
      </c>
      <c r="D169" s="46">
        <v>25.0</v>
      </c>
      <c r="E169" s="46" t="s">
        <v>1414</v>
      </c>
      <c r="F169" s="46" t="s">
        <v>1803</v>
      </c>
      <c r="G169" s="46">
        <v>3.0</v>
      </c>
      <c r="H169" s="46" t="s">
        <v>771</v>
      </c>
      <c r="I169" s="46" t="s">
        <v>646</v>
      </c>
      <c r="J169" s="46" t="s">
        <v>789</v>
      </c>
      <c r="K169" s="47">
        <v>0.78</v>
      </c>
      <c r="L169" s="46" t="s">
        <v>646</v>
      </c>
      <c r="M169" s="48" t="s">
        <v>1851</v>
      </c>
      <c r="N169" s="46" t="s">
        <v>1852</v>
      </c>
      <c r="O169" s="46">
        <v>64.0</v>
      </c>
      <c r="P169" s="49">
        <v>46085.0</v>
      </c>
      <c r="Q169" s="50" t="s">
        <v>1853</v>
      </c>
      <c r="R169" s="50" t="s">
        <v>1854</v>
      </c>
      <c r="S169" s="50" t="s">
        <v>1789</v>
      </c>
      <c r="T169" s="46" t="s">
        <v>739</v>
      </c>
    </row>
    <row r="170">
      <c r="A170" s="46" t="s">
        <v>1855</v>
      </c>
      <c r="B170" s="46" t="s">
        <v>1856</v>
      </c>
      <c r="C170" s="46" t="s">
        <v>1029</v>
      </c>
      <c r="D170" s="46">
        <v>40.0</v>
      </c>
      <c r="E170" s="46" t="s">
        <v>77</v>
      </c>
      <c r="F170" s="46" t="s">
        <v>1803</v>
      </c>
      <c r="G170" s="46">
        <v>15.0</v>
      </c>
      <c r="H170" s="46" t="s">
        <v>1857</v>
      </c>
      <c r="I170" s="46" t="s">
        <v>659</v>
      </c>
      <c r="J170" s="46" t="s">
        <v>722</v>
      </c>
      <c r="K170" s="47">
        <v>0.98</v>
      </c>
      <c r="L170" s="46" t="s">
        <v>659</v>
      </c>
      <c r="M170" s="46" t="s">
        <v>1858</v>
      </c>
      <c r="N170" s="46" t="s">
        <v>1859</v>
      </c>
      <c r="O170" s="46">
        <v>820.0</v>
      </c>
      <c r="P170" s="46" t="s">
        <v>801</v>
      </c>
      <c r="Q170" s="50" t="s">
        <v>1860</v>
      </c>
      <c r="R170" s="50" t="s">
        <v>1861</v>
      </c>
      <c r="S170" s="50" t="s">
        <v>1829</v>
      </c>
      <c r="T170" s="46" t="s">
        <v>718</v>
      </c>
    </row>
    <row r="171">
      <c r="A171" s="46" t="s">
        <v>1862</v>
      </c>
      <c r="B171" s="46" t="s">
        <v>1863</v>
      </c>
      <c r="C171" s="46" t="s">
        <v>1428</v>
      </c>
      <c r="D171" s="46">
        <v>29.0</v>
      </c>
      <c r="E171" s="46" t="s">
        <v>99</v>
      </c>
      <c r="F171" s="46" t="s">
        <v>1803</v>
      </c>
      <c r="G171" s="46">
        <v>6.0</v>
      </c>
      <c r="H171" s="46" t="s">
        <v>1292</v>
      </c>
      <c r="I171" s="46" t="s">
        <v>646</v>
      </c>
      <c r="J171" s="46" t="s">
        <v>918</v>
      </c>
      <c r="K171" s="47">
        <v>0.88</v>
      </c>
      <c r="L171" s="46" t="s">
        <v>659</v>
      </c>
      <c r="M171" s="48" t="s">
        <v>1864</v>
      </c>
      <c r="N171" s="46" t="s">
        <v>1865</v>
      </c>
      <c r="O171" s="46">
        <v>190.0</v>
      </c>
      <c r="P171" s="49">
        <v>46207.0</v>
      </c>
      <c r="Q171" s="50" t="s">
        <v>1866</v>
      </c>
      <c r="R171" s="50" t="s">
        <v>1867</v>
      </c>
      <c r="S171" s="50" t="s">
        <v>1615</v>
      </c>
      <c r="T171" s="46" t="s">
        <v>718</v>
      </c>
    </row>
    <row r="172">
      <c r="A172" s="46" t="s">
        <v>1868</v>
      </c>
      <c r="B172" s="46" t="s">
        <v>1869</v>
      </c>
      <c r="C172" s="46" t="s">
        <v>709</v>
      </c>
      <c r="D172" s="46">
        <v>27.0</v>
      </c>
      <c r="E172" s="46" t="s">
        <v>44</v>
      </c>
      <c r="F172" s="46" t="s">
        <v>1870</v>
      </c>
      <c r="G172" s="46">
        <v>4.0</v>
      </c>
      <c r="H172" s="46" t="s">
        <v>856</v>
      </c>
      <c r="I172" s="46" t="s">
        <v>646</v>
      </c>
      <c r="J172" s="46" t="s">
        <v>1871</v>
      </c>
      <c r="K172" s="47">
        <v>0.88</v>
      </c>
      <c r="L172" s="46" t="s">
        <v>659</v>
      </c>
      <c r="M172" s="48" t="s">
        <v>1872</v>
      </c>
      <c r="N172" s="46" t="s">
        <v>1873</v>
      </c>
      <c r="O172" s="46">
        <v>140.0</v>
      </c>
      <c r="P172" s="49">
        <v>46177.0</v>
      </c>
      <c r="Q172" s="50" t="s">
        <v>1874</v>
      </c>
      <c r="R172" s="50" t="s">
        <v>1875</v>
      </c>
      <c r="S172" s="50" t="s">
        <v>1876</v>
      </c>
      <c r="T172" s="46" t="s">
        <v>718</v>
      </c>
    </row>
    <row r="173">
      <c r="A173" s="46" t="s">
        <v>1877</v>
      </c>
      <c r="B173" s="46" t="s">
        <v>1869</v>
      </c>
      <c r="C173" s="46" t="s">
        <v>1878</v>
      </c>
      <c r="D173" s="46">
        <v>35.0</v>
      </c>
      <c r="E173" s="46" t="s">
        <v>147</v>
      </c>
      <c r="F173" s="46" t="s">
        <v>1879</v>
      </c>
      <c r="G173" s="46">
        <v>11.0</v>
      </c>
      <c r="H173" s="46" t="s">
        <v>780</v>
      </c>
      <c r="I173" s="46" t="s">
        <v>659</v>
      </c>
      <c r="J173" s="46" t="s">
        <v>722</v>
      </c>
      <c r="K173" s="47">
        <v>0.96</v>
      </c>
      <c r="L173" s="46" t="s">
        <v>659</v>
      </c>
      <c r="M173" s="46" t="s">
        <v>1880</v>
      </c>
      <c r="N173" s="46" t="s">
        <v>1881</v>
      </c>
      <c r="O173" s="46">
        <v>520.0</v>
      </c>
      <c r="P173" s="49">
        <v>46269.0</v>
      </c>
      <c r="Q173" s="50" t="s">
        <v>1882</v>
      </c>
      <c r="R173" s="50" t="s">
        <v>1883</v>
      </c>
      <c r="S173" s="50" t="s">
        <v>1884</v>
      </c>
      <c r="T173" s="46" t="s">
        <v>718</v>
      </c>
    </row>
    <row r="174">
      <c r="A174" s="46" t="s">
        <v>1885</v>
      </c>
      <c r="B174" s="46" t="s">
        <v>1869</v>
      </c>
      <c r="C174" s="46" t="s">
        <v>1886</v>
      </c>
      <c r="D174" s="46">
        <v>23.0</v>
      </c>
      <c r="E174" s="46" t="s">
        <v>232</v>
      </c>
      <c r="F174" s="46" t="s">
        <v>1887</v>
      </c>
      <c r="G174" s="46">
        <v>1.0</v>
      </c>
      <c r="H174" s="46" t="s">
        <v>751</v>
      </c>
      <c r="I174" s="46" t="s">
        <v>732</v>
      </c>
      <c r="J174" s="46" t="s">
        <v>832</v>
      </c>
      <c r="K174" s="47">
        <v>0.6</v>
      </c>
      <c r="L174" s="46" t="s">
        <v>646</v>
      </c>
      <c r="M174" s="48" t="s">
        <v>1888</v>
      </c>
      <c r="N174" s="46" t="s">
        <v>1889</v>
      </c>
      <c r="O174" s="46">
        <v>22.0</v>
      </c>
      <c r="P174" s="46" t="s">
        <v>881</v>
      </c>
      <c r="Q174" s="50" t="s">
        <v>1890</v>
      </c>
      <c r="R174" s="50" t="s">
        <v>1891</v>
      </c>
      <c r="S174" s="50" t="s">
        <v>1892</v>
      </c>
      <c r="T174" s="46" t="s">
        <v>739</v>
      </c>
    </row>
    <row r="175">
      <c r="A175" s="46" t="s">
        <v>1893</v>
      </c>
      <c r="B175" s="46" t="s">
        <v>1869</v>
      </c>
      <c r="C175" s="46" t="s">
        <v>1158</v>
      </c>
      <c r="D175" s="46">
        <v>38.0</v>
      </c>
      <c r="E175" s="46" t="s">
        <v>44</v>
      </c>
      <c r="F175" s="46" t="s">
        <v>1894</v>
      </c>
      <c r="G175" s="46">
        <v>14.0</v>
      </c>
      <c r="H175" s="46" t="s">
        <v>956</v>
      </c>
      <c r="I175" s="46" t="s">
        <v>659</v>
      </c>
      <c r="J175" s="46" t="s">
        <v>722</v>
      </c>
      <c r="K175" s="47">
        <v>0.98</v>
      </c>
      <c r="L175" s="46" t="s">
        <v>659</v>
      </c>
      <c r="M175" s="46" t="s">
        <v>1895</v>
      </c>
      <c r="N175" s="46" t="s">
        <v>1896</v>
      </c>
      <c r="O175" s="46">
        <v>760.0</v>
      </c>
      <c r="P175" s="46" t="s">
        <v>801</v>
      </c>
      <c r="Q175" s="50" t="s">
        <v>1897</v>
      </c>
      <c r="R175" s="50" t="s">
        <v>1898</v>
      </c>
      <c r="S175" s="50" t="s">
        <v>1899</v>
      </c>
      <c r="T175" s="46" t="s">
        <v>718</v>
      </c>
    </row>
    <row r="176">
      <c r="A176" s="46" t="s">
        <v>1900</v>
      </c>
      <c r="B176" s="46" t="s">
        <v>1869</v>
      </c>
      <c r="C176" s="46" t="s">
        <v>1087</v>
      </c>
      <c r="D176" s="46">
        <v>28.0</v>
      </c>
      <c r="E176" s="46" t="s">
        <v>1022</v>
      </c>
      <c r="F176" s="46" t="s">
        <v>1901</v>
      </c>
      <c r="G176" s="46">
        <v>5.0</v>
      </c>
      <c r="H176" s="46" t="s">
        <v>711</v>
      </c>
      <c r="I176" s="46" t="s">
        <v>646</v>
      </c>
      <c r="J176" s="46" t="s">
        <v>789</v>
      </c>
      <c r="K176" s="47">
        <v>0.84</v>
      </c>
      <c r="L176" s="46" t="s">
        <v>659</v>
      </c>
      <c r="M176" s="48" t="s">
        <v>1902</v>
      </c>
      <c r="N176" s="46" t="s">
        <v>1903</v>
      </c>
      <c r="O176" s="46">
        <v>170.0</v>
      </c>
      <c r="P176" s="49">
        <v>46177.0</v>
      </c>
      <c r="Q176" s="50" t="s">
        <v>1904</v>
      </c>
      <c r="R176" s="50" t="s">
        <v>1905</v>
      </c>
      <c r="S176" s="50" t="s">
        <v>1876</v>
      </c>
      <c r="T176" s="46" t="s">
        <v>718</v>
      </c>
    </row>
    <row r="177">
      <c r="A177" s="46" t="s">
        <v>1906</v>
      </c>
      <c r="B177" s="46" t="s">
        <v>1869</v>
      </c>
      <c r="C177" s="46" t="s">
        <v>839</v>
      </c>
      <c r="D177" s="46">
        <v>21.0</v>
      </c>
      <c r="E177" s="46" t="s">
        <v>108</v>
      </c>
      <c r="F177" s="46" t="s">
        <v>1907</v>
      </c>
      <c r="G177" s="46">
        <v>1.0</v>
      </c>
      <c r="H177" s="46" t="s">
        <v>840</v>
      </c>
      <c r="I177" s="46" t="s">
        <v>732</v>
      </c>
      <c r="J177" s="46" t="s">
        <v>752</v>
      </c>
      <c r="K177" s="47">
        <v>0.55</v>
      </c>
      <c r="L177" s="46" t="s">
        <v>753</v>
      </c>
      <c r="M177" s="48" t="s">
        <v>1908</v>
      </c>
      <c r="N177" s="46" t="s">
        <v>1909</v>
      </c>
      <c r="O177" s="46">
        <v>8.0</v>
      </c>
      <c r="P177" s="49">
        <v>46206.0</v>
      </c>
      <c r="Q177" s="50" t="s">
        <v>1910</v>
      </c>
      <c r="R177" s="50" t="s">
        <v>1911</v>
      </c>
      <c r="S177" s="50" t="s">
        <v>1198</v>
      </c>
      <c r="T177" s="46" t="s">
        <v>759</v>
      </c>
    </row>
    <row r="178">
      <c r="A178" s="46" t="s">
        <v>1912</v>
      </c>
      <c r="B178" s="46" t="s">
        <v>1869</v>
      </c>
      <c r="C178" s="46" t="s">
        <v>1186</v>
      </c>
      <c r="D178" s="46">
        <v>32.0</v>
      </c>
      <c r="E178" s="46" t="s">
        <v>57</v>
      </c>
      <c r="F178" s="46" t="s">
        <v>1913</v>
      </c>
      <c r="G178" s="46">
        <v>8.0</v>
      </c>
      <c r="H178" s="46" t="s">
        <v>1237</v>
      </c>
      <c r="I178" s="46" t="s">
        <v>659</v>
      </c>
      <c r="J178" s="46" t="s">
        <v>722</v>
      </c>
      <c r="K178" s="47">
        <v>0.94</v>
      </c>
      <c r="L178" s="46" t="s">
        <v>659</v>
      </c>
      <c r="M178" s="46" t="s">
        <v>1914</v>
      </c>
      <c r="N178" s="46" t="s">
        <v>1915</v>
      </c>
      <c r="O178" s="46">
        <v>420.0</v>
      </c>
      <c r="P178" s="49">
        <v>46238.0</v>
      </c>
      <c r="Q178" s="50" t="s">
        <v>1916</v>
      </c>
      <c r="R178" s="50" t="s">
        <v>1917</v>
      </c>
      <c r="S178" s="50" t="s">
        <v>1918</v>
      </c>
      <c r="T178" s="46" t="s">
        <v>718</v>
      </c>
    </row>
    <row r="179">
      <c r="A179" s="46" t="s">
        <v>1919</v>
      </c>
      <c r="B179" s="46" t="s">
        <v>1869</v>
      </c>
      <c r="C179" s="46" t="s">
        <v>863</v>
      </c>
      <c r="D179" s="46">
        <v>25.0</v>
      </c>
      <c r="E179" s="46" t="s">
        <v>1414</v>
      </c>
      <c r="F179" s="46" t="s">
        <v>1920</v>
      </c>
      <c r="G179" s="46">
        <v>3.0</v>
      </c>
      <c r="H179" s="46" t="s">
        <v>788</v>
      </c>
      <c r="I179" s="46" t="s">
        <v>646</v>
      </c>
      <c r="J179" s="46" t="s">
        <v>832</v>
      </c>
      <c r="K179" s="47">
        <v>0.76</v>
      </c>
      <c r="L179" s="46" t="s">
        <v>646</v>
      </c>
      <c r="M179" s="48" t="s">
        <v>1921</v>
      </c>
      <c r="N179" s="46" t="s">
        <v>1922</v>
      </c>
      <c r="O179" s="46">
        <v>64.0</v>
      </c>
      <c r="P179" s="49">
        <v>46085.0</v>
      </c>
      <c r="Q179" s="50" t="s">
        <v>1923</v>
      </c>
      <c r="R179" s="50" t="s">
        <v>1924</v>
      </c>
      <c r="S179" s="50" t="s">
        <v>1789</v>
      </c>
      <c r="T179" s="46" t="s">
        <v>739</v>
      </c>
    </row>
    <row r="180">
      <c r="A180" s="46" t="s">
        <v>1925</v>
      </c>
      <c r="B180" s="46" t="s">
        <v>1869</v>
      </c>
      <c r="C180" s="46" t="s">
        <v>1029</v>
      </c>
      <c r="D180" s="46">
        <v>41.0</v>
      </c>
      <c r="E180" s="46" t="s">
        <v>77</v>
      </c>
      <c r="F180" s="46" t="s">
        <v>1926</v>
      </c>
      <c r="G180" s="46">
        <v>17.0</v>
      </c>
      <c r="H180" s="46" t="s">
        <v>1030</v>
      </c>
      <c r="I180" s="46" t="s">
        <v>659</v>
      </c>
      <c r="J180" s="46" t="s">
        <v>722</v>
      </c>
      <c r="K180" s="47">
        <v>0.99</v>
      </c>
      <c r="L180" s="46" t="s">
        <v>659</v>
      </c>
      <c r="M180" s="46" t="s">
        <v>1927</v>
      </c>
      <c r="N180" s="46" t="s">
        <v>1928</v>
      </c>
      <c r="O180" s="46">
        <v>920.0</v>
      </c>
      <c r="P180" s="46" t="s">
        <v>801</v>
      </c>
      <c r="Q180" s="50" t="s">
        <v>1929</v>
      </c>
      <c r="R180" s="50" t="s">
        <v>1930</v>
      </c>
      <c r="S180" s="50" t="s">
        <v>1899</v>
      </c>
      <c r="T180" s="46" t="s">
        <v>718</v>
      </c>
    </row>
    <row r="181">
      <c r="A181" s="46" t="s">
        <v>1931</v>
      </c>
      <c r="B181" s="46" t="s">
        <v>1869</v>
      </c>
      <c r="C181" s="46" t="s">
        <v>1428</v>
      </c>
      <c r="D181" s="46">
        <v>30.0</v>
      </c>
      <c r="E181" s="46" t="s">
        <v>99</v>
      </c>
      <c r="F181" s="46" t="s">
        <v>1932</v>
      </c>
      <c r="G181" s="46">
        <v>6.0</v>
      </c>
      <c r="H181" s="46" t="s">
        <v>822</v>
      </c>
      <c r="I181" s="46" t="s">
        <v>646</v>
      </c>
      <c r="J181" s="46" t="s">
        <v>918</v>
      </c>
      <c r="K181" s="47">
        <v>0.87</v>
      </c>
      <c r="L181" s="46" t="s">
        <v>659</v>
      </c>
      <c r="M181" s="48" t="s">
        <v>1933</v>
      </c>
      <c r="N181" s="46" t="s">
        <v>1934</v>
      </c>
      <c r="O181" s="46">
        <v>190.0</v>
      </c>
      <c r="P181" s="49">
        <v>46207.0</v>
      </c>
      <c r="Q181" s="50" t="s">
        <v>1935</v>
      </c>
      <c r="R181" s="50" t="s">
        <v>1905</v>
      </c>
      <c r="S181" s="50" t="s">
        <v>1679</v>
      </c>
      <c r="T181" s="46" t="s">
        <v>718</v>
      </c>
    </row>
    <row r="182">
      <c r="A182" s="46" t="s">
        <v>1936</v>
      </c>
      <c r="B182" s="46" t="s">
        <v>1937</v>
      </c>
      <c r="C182" s="46" t="s">
        <v>910</v>
      </c>
      <c r="D182" s="46">
        <v>29.0</v>
      </c>
      <c r="E182" s="46" t="s">
        <v>44</v>
      </c>
      <c r="F182" s="46" t="s">
        <v>1803</v>
      </c>
      <c r="G182" s="46">
        <v>5.0</v>
      </c>
      <c r="H182" s="46" t="s">
        <v>711</v>
      </c>
      <c r="I182" s="46" t="s">
        <v>646</v>
      </c>
      <c r="J182" s="46" t="s">
        <v>1938</v>
      </c>
      <c r="K182" s="47">
        <v>0.86</v>
      </c>
      <c r="L182" s="46" t="s">
        <v>659</v>
      </c>
      <c r="M182" s="48" t="s">
        <v>1939</v>
      </c>
      <c r="N182" s="46" t="s">
        <v>1940</v>
      </c>
      <c r="O182" s="46">
        <v>160.0</v>
      </c>
      <c r="P182" s="49">
        <v>46177.0</v>
      </c>
      <c r="Q182" s="50" t="s">
        <v>1941</v>
      </c>
      <c r="R182" s="50" t="s">
        <v>1942</v>
      </c>
      <c r="S182" s="50" t="s">
        <v>1943</v>
      </c>
      <c r="T182" s="46" t="s">
        <v>718</v>
      </c>
    </row>
    <row r="183">
      <c r="A183" s="46" t="s">
        <v>1944</v>
      </c>
      <c r="B183" s="46" t="s">
        <v>1937</v>
      </c>
      <c r="C183" s="46" t="s">
        <v>1395</v>
      </c>
      <c r="D183" s="46">
        <v>35.0</v>
      </c>
      <c r="E183" s="46" t="s">
        <v>147</v>
      </c>
      <c r="F183" s="46" t="s">
        <v>1803</v>
      </c>
      <c r="G183" s="46">
        <v>11.0</v>
      </c>
      <c r="H183" s="46" t="s">
        <v>780</v>
      </c>
      <c r="I183" s="46" t="s">
        <v>659</v>
      </c>
      <c r="J183" s="46" t="s">
        <v>722</v>
      </c>
      <c r="K183" s="47">
        <v>0.95</v>
      </c>
      <c r="L183" s="46" t="s">
        <v>659</v>
      </c>
      <c r="M183" s="46" t="s">
        <v>1945</v>
      </c>
      <c r="N183" s="46" t="s">
        <v>1946</v>
      </c>
      <c r="O183" s="46">
        <v>520.0</v>
      </c>
      <c r="P183" s="49">
        <v>46269.0</v>
      </c>
      <c r="Q183" s="50" t="s">
        <v>1947</v>
      </c>
      <c r="R183" s="50" t="s">
        <v>1948</v>
      </c>
      <c r="S183" s="50" t="s">
        <v>1949</v>
      </c>
      <c r="T183" s="46" t="s">
        <v>718</v>
      </c>
    </row>
    <row r="184">
      <c r="A184" s="46" t="s">
        <v>1950</v>
      </c>
      <c r="B184" s="46" t="s">
        <v>1937</v>
      </c>
      <c r="C184" s="46" t="s">
        <v>878</v>
      </c>
      <c r="D184" s="46">
        <v>22.0</v>
      </c>
      <c r="E184" s="46" t="s">
        <v>232</v>
      </c>
      <c r="F184" s="46" t="s">
        <v>1803</v>
      </c>
      <c r="G184" s="46">
        <v>1.0</v>
      </c>
      <c r="H184" s="46" t="s">
        <v>864</v>
      </c>
      <c r="I184" s="46" t="s">
        <v>732</v>
      </c>
      <c r="J184" s="46" t="s">
        <v>832</v>
      </c>
      <c r="K184" s="47">
        <v>0.62</v>
      </c>
      <c r="L184" s="46" t="s">
        <v>646</v>
      </c>
      <c r="M184" s="48" t="s">
        <v>1951</v>
      </c>
      <c r="N184" s="46" t="s">
        <v>1952</v>
      </c>
      <c r="O184" s="46">
        <v>18.0</v>
      </c>
      <c r="P184" s="46" t="s">
        <v>881</v>
      </c>
      <c r="Q184" s="50" t="s">
        <v>1953</v>
      </c>
      <c r="R184" s="50" t="s">
        <v>1954</v>
      </c>
      <c r="S184" s="50" t="s">
        <v>1955</v>
      </c>
      <c r="T184" s="46" t="s">
        <v>739</v>
      </c>
    </row>
    <row r="185">
      <c r="A185" s="46" t="s">
        <v>1956</v>
      </c>
      <c r="B185" s="46" t="s">
        <v>1937</v>
      </c>
      <c r="C185" s="46" t="s">
        <v>1013</v>
      </c>
      <c r="D185" s="46">
        <v>44.0</v>
      </c>
      <c r="E185" s="46" t="s">
        <v>44</v>
      </c>
      <c r="F185" s="46" t="s">
        <v>1803</v>
      </c>
      <c r="G185" s="46">
        <v>18.0</v>
      </c>
      <c r="H185" s="46" t="s">
        <v>1030</v>
      </c>
      <c r="I185" s="46" t="s">
        <v>659</v>
      </c>
      <c r="J185" s="46" t="s">
        <v>722</v>
      </c>
      <c r="K185" s="47">
        <v>0.98</v>
      </c>
      <c r="L185" s="46" t="s">
        <v>659</v>
      </c>
      <c r="M185" s="48" t="s">
        <v>1957</v>
      </c>
      <c r="N185" s="46" t="s">
        <v>1958</v>
      </c>
      <c r="O185" s="46">
        <v>820.0</v>
      </c>
      <c r="P185" s="46" t="s">
        <v>801</v>
      </c>
      <c r="Q185" s="50" t="s">
        <v>1959</v>
      </c>
      <c r="R185" s="50" t="s">
        <v>1960</v>
      </c>
      <c r="S185" s="50" t="s">
        <v>1899</v>
      </c>
      <c r="T185" s="46" t="s">
        <v>718</v>
      </c>
    </row>
    <row r="186">
      <c r="A186" s="46" t="s">
        <v>1961</v>
      </c>
      <c r="B186" s="46" t="s">
        <v>1937</v>
      </c>
      <c r="C186" s="46" t="s">
        <v>1087</v>
      </c>
      <c r="D186" s="46">
        <v>31.0</v>
      </c>
      <c r="E186" s="46" t="s">
        <v>1022</v>
      </c>
      <c r="F186" s="46" t="s">
        <v>1803</v>
      </c>
      <c r="G186" s="46">
        <v>7.0</v>
      </c>
      <c r="H186" s="46" t="s">
        <v>1962</v>
      </c>
      <c r="I186" s="46" t="s">
        <v>646</v>
      </c>
      <c r="J186" s="46" t="s">
        <v>789</v>
      </c>
      <c r="K186" s="47">
        <v>0.88</v>
      </c>
      <c r="L186" s="46" t="s">
        <v>659</v>
      </c>
      <c r="M186" s="48" t="s">
        <v>1963</v>
      </c>
      <c r="N186" s="46" t="s">
        <v>1964</v>
      </c>
      <c r="O186" s="46">
        <v>210.0</v>
      </c>
      <c r="P186" s="49">
        <v>46207.0</v>
      </c>
      <c r="Q186" s="50" t="s">
        <v>1965</v>
      </c>
      <c r="R186" s="50" t="s">
        <v>1966</v>
      </c>
      <c r="S186" s="50" t="s">
        <v>1967</v>
      </c>
      <c r="T186" s="46" t="s">
        <v>718</v>
      </c>
    </row>
    <row r="187">
      <c r="A187" s="46" t="s">
        <v>1968</v>
      </c>
      <c r="B187" s="46" t="s">
        <v>1937</v>
      </c>
      <c r="C187" s="46" t="s">
        <v>839</v>
      </c>
      <c r="D187" s="46">
        <v>23.0</v>
      </c>
      <c r="E187" s="46" t="s">
        <v>108</v>
      </c>
      <c r="F187" s="46" t="s">
        <v>1803</v>
      </c>
      <c r="G187" s="46">
        <v>1.0</v>
      </c>
      <c r="H187" s="46" t="s">
        <v>751</v>
      </c>
      <c r="I187" s="46" t="s">
        <v>732</v>
      </c>
      <c r="J187" s="46" t="s">
        <v>752</v>
      </c>
      <c r="K187" s="47">
        <v>0.55</v>
      </c>
      <c r="L187" s="46" t="s">
        <v>753</v>
      </c>
      <c r="M187" s="48" t="s">
        <v>1969</v>
      </c>
      <c r="N187" s="46" t="s">
        <v>1970</v>
      </c>
      <c r="O187" s="46">
        <v>10.0</v>
      </c>
      <c r="P187" s="49">
        <v>46237.0</v>
      </c>
      <c r="Q187" s="50" t="s">
        <v>1971</v>
      </c>
      <c r="R187" s="50" t="s">
        <v>1972</v>
      </c>
      <c r="S187" s="50" t="s">
        <v>1973</v>
      </c>
      <c r="T187" s="46" t="s">
        <v>759</v>
      </c>
    </row>
    <row r="188">
      <c r="A188" s="46" t="s">
        <v>1974</v>
      </c>
      <c r="B188" s="46" t="s">
        <v>1937</v>
      </c>
      <c r="C188" s="46" t="s">
        <v>1079</v>
      </c>
      <c r="D188" s="46">
        <v>37.0</v>
      </c>
      <c r="E188" s="46" t="s">
        <v>1014</v>
      </c>
      <c r="F188" s="46" t="s">
        <v>1803</v>
      </c>
      <c r="G188" s="46">
        <v>12.0</v>
      </c>
      <c r="H188" s="46" t="s">
        <v>1151</v>
      </c>
      <c r="I188" s="46" t="s">
        <v>659</v>
      </c>
      <c r="J188" s="46" t="s">
        <v>722</v>
      </c>
      <c r="K188" s="47">
        <v>0.96</v>
      </c>
      <c r="L188" s="46" t="s">
        <v>659</v>
      </c>
      <c r="M188" s="46" t="s">
        <v>1975</v>
      </c>
      <c r="N188" s="46" t="s">
        <v>1976</v>
      </c>
      <c r="O188" s="46">
        <v>510.0</v>
      </c>
      <c r="P188" s="49">
        <v>46269.0</v>
      </c>
      <c r="Q188" s="50" t="s">
        <v>1977</v>
      </c>
      <c r="R188" s="50" t="s">
        <v>1978</v>
      </c>
      <c r="S188" s="50" t="s">
        <v>1979</v>
      </c>
      <c r="T188" s="46" t="s">
        <v>718</v>
      </c>
    </row>
    <row r="189">
      <c r="A189" s="46" t="s">
        <v>1980</v>
      </c>
      <c r="B189" s="46" t="s">
        <v>1937</v>
      </c>
      <c r="C189" s="46" t="s">
        <v>863</v>
      </c>
      <c r="D189" s="46">
        <v>26.0</v>
      </c>
      <c r="E189" s="46" t="s">
        <v>1414</v>
      </c>
      <c r="F189" s="46" t="s">
        <v>730</v>
      </c>
      <c r="G189" s="46">
        <v>3.0</v>
      </c>
      <c r="H189" s="46" t="s">
        <v>771</v>
      </c>
      <c r="I189" s="46" t="s">
        <v>646</v>
      </c>
      <c r="J189" s="46" t="s">
        <v>832</v>
      </c>
      <c r="K189" s="47">
        <v>0.76</v>
      </c>
      <c r="L189" s="46" t="s">
        <v>646</v>
      </c>
      <c r="M189" s="48" t="s">
        <v>1981</v>
      </c>
      <c r="N189" s="46" t="s">
        <v>1982</v>
      </c>
      <c r="O189" s="46">
        <v>64.0</v>
      </c>
      <c r="P189" s="49">
        <v>46085.0</v>
      </c>
      <c r="Q189" s="50" t="s">
        <v>1983</v>
      </c>
      <c r="R189" s="50" t="s">
        <v>1984</v>
      </c>
      <c r="S189" s="50" t="s">
        <v>1876</v>
      </c>
      <c r="T189" s="46" t="s">
        <v>739</v>
      </c>
    </row>
    <row r="190">
      <c r="A190" s="46" t="s">
        <v>1985</v>
      </c>
      <c r="B190" s="46" t="s">
        <v>1937</v>
      </c>
      <c r="C190" s="46" t="s">
        <v>1029</v>
      </c>
      <c r="D190" s="46">
        <v>41.0</v>
      </c>
      <c r="E190" s="46" t="s">
        <v>77</v>
      </c>
      <c r="F190" s="46" t="s">
        <v>730</v>
      </c>
      <c r="G190" s="46">
        <v>16.0</v>
      </c>
      <c r="H190" s="46" t="s">
        <v>956</v>
      </c>
      <c r="I190" s="46" t="s">
        <v>659</v>
      </c>
      <c r="J190" s="46" t="s">
        <v>722</v>
      </c>
      <c r="K190" s="47">
        <v>0.97</v>
      </c>
      <c r="L190" s="46" t="s">
        <v>659</v>
      </c>
      <c r="M190" s="46" t="s">
        <v>1986</v>
      </c>
      <c r="N190" s="46" t="s">
        <v>1987</v>
      </c>
      <c r="O190" s="46">
        <v>710.0</v>
      </c>
      <c r="P190" s="46" t="s">
        <v>801</v>
      </c>
      <c r="Q190" s="50" t="s">
        <v>1988</v>
      </c>
      <c r="R190" s="50" t="s">
        <v>1989</v>
      </c>
      <c r="S190" s="50" t="s">
        <v>1899</v>
      </c>
      <c r="T190" s="46" t="s">
        <v>718</v>
      </c>
    </row>
    <row r="191">
      <c r="A191" s="46" t="s">
        <v>1990</v>
      </c>
      <c r="B191" s="46" t="s">
        <v>1937</v>
      </c>
      <c r="C191" s="46" t="s">
        <v>1428</v>
      </c>
      <c r="D191" s="46">
        <v>30.0</v>
      </c>
      <c r="E191" s="46" t="s">
        <v>99</v>
      </c>
      <c r="F191" s="46" t="s">
        <v>730</v>
      </c>
      <c r="G191" s="46">
        <v>6.0</v>
      </c>
      <c r="H191" s="46" t="s">
        <v>822</v>
      </c>
      <c r="I191" s="46" t="s">
        <v>646</v>
      </c>
      <c r="J191" s="46" t="s">
        <v>918</v>
      </c>
      <c r="K191" s="47">
        <v>0.87</v>
      </c>
      <c r="L191" s="46" t="s">
        <v>659</v>
      </c>
      <c r="M191" s="48" t="s">
        <v>1991</v>
      </c>
      <c r="N191" s="46" t="s">
        <v>1992</v>
      </c>
      <c r="O191" s="46">
        <v>190.0</v>
      </c>
      <c r="P191" s="49">
        <v>46207.0</v>
      </c>
      <c r="Q191" s="50" t="s">
        <v>1993</v>
      </c>
      <c r="R191" s="50" t="s">
        <v>1994</v>
      </c>
      <c r="S191" s="50" t="s">
        <v>1995</v>
      </c>
      <c r="T191" s="46" t="s">
        <v>718</v>
      </c>
    </row>
    <row r="192">
      <c r="A192" s="46" t="s">
        <v>1996</v>
      </c>
      <c r="B192" s="46" t="s">
        <v>1997</v>
      </c>
      <c r="C192" s="46" t="s">
        <v>1998</v>
      </c>
      <c r="D192" s="46">
        <v>34.0</v>
      </c>
      <c r="E192" s="46" t="s">
        <v>44</v>
      </c>
      <c r="F192" s="46" t="s">
        <v>710</v>
      </c>
      <c r="G192" s="46">
        <v>7.0</v>
      </c>
      <c r="H192" s="46" t="s">
        <v>711</v>
      </c>
      <c r="I192" s="46" t="s">
        <v>646</v>
      </c>
      <c r="J192" s="46" t="s">
        <v>1999</v>
      </c>
      <c r="K192" s="47">
        <v>0.91</v>
      </c>
      <c r="L192" s="46" t="s">
        <v>659</v>
      </c>
      <c r="M192" s="48" t="s">
        <v>2000</v>
      </c>
      <c r="N192" s="46" t="s">
        <v>2001</v>
      </c>
      <c r="O192" s="46">
        <v>180.0</v>
      </c>
      <c r="P192" s="49">
        <v>46207.0</v>
      </c>
      <c r="Q192" s="50" t="s">
        <v>2002</v>
      </c>
      <c r="R192" s="50" t="s">
        <v>2003</v>
      </c>
      <c r="S192" s="50" t="s">
        <v>2004</v>
      </c>
      <c r="T192" s="46" t="s">
        <v>718</v>
      </c>
    </row>
    <row r="193">
      <c r="A193" s="46" t="s">
        <v>2005</v>
      </c>
      <c r="B193" s="46" t="s">
        <v>1997</v>
      </c>
      <c r="C193" s="46" t="s">
        <v>2006</v>
      </c>
      <c r="D193" s="46">
        <v>45.0</v>
      </c>
      <c r="E193" s="46" t="s">
        <v>147</v>
      </c>
      <c r="F193" s="46" t="s">
        <v>710</v>
      </c>
      <c r="G193" s="46">
        <v>15.0</v>
      </c>
      <c r="H193" s="46" t="s">
        <v>1292</v>
      </c>
      <c r="I193" s="46" t="s">
        <v>659</v>
      </c>
      <c r="J193" s="46" t="s">
        <v>2007</v>
      </c>
      <c r="K193" s="47">
        <v>0.94</v>
      </c>
      <c r="L193" s="46" t="s">
        <v>659</v>
      </c>
      <c r="M193" s="46" t="s">
        <v>2008</v>
      </c>
      <c r="N193" s="46" t="s">
        <v>2009</v>
      </c>
      <c r="O193" s="46">
        <v>620.0</v>
      </c>
      <c r="P193" s="49">
        <v>46269.0</v>
      </c>
      <c r="Q193" s="50" t="s">
        <v>2010</v>
      </c>
      <c r="R193" s="50" t="s">
        <v>2011</v>
      </c>
      <c r="S193" s="50" t="s">
        <v>2012</v>
      </c>
      <c r="T193" s="46" t="s">
        <v>718</v>
      </c>
    </row>
    <row r="194">
      <c r="A194" s="46" t="s">
        <v>2013</v>
      </c>
      <c r="B194" s="46" t="s">
        <v>1997</v>
      </c>
      <c r="C194" s="46" t="s">
        <v>729</v>
      </c>
      <c r="D194" s="46">
        <v>22.0</v>
      </c>
      <c r="E194" s="46" t="s">
        <v>232</v>
      </c>
      <c r="F194" s="46" t="s">
        <v>710</v>
      </c>
      <c r="G194" s="46">
        <v>2.0</v>
      </c>
      <c r="H194" s="46" t="s">
        <v>731</v>
      </c>
      <c r="I194" s="46" t="s">
        <v>732</v>
      </c>
      <c r="J194" s="46" t="s">
        <v>733</v>
      </c>
      <c r="K194" s="47">
        <v>0.64</v>
      </c>
      <c r="L194" s="46" t="s">
        <v>646</v>
      </c>
      <c r="M194" s="48" t="s">
        <v>2014</v>
      </c>
      <c r="N194" s="46" t="s">
        <v>2015</v>
      </c>
      <c r="O194" s="46">
        <v>28.0</v>
      </c>
      <c r="P194" s="49">
        <v>46026.0</v>
      </c>
      <c r="Q194" s="50" t="s">
        <v>2016</v>
      </c>
      <c r="R194" s="50" t="s">
        <v>2017</v>
      </c>
      <c r="S194" s="50" t="s">
        <v>1591</v>
      </c>
      <c r="T194" s="46" t="s">
        <v>739</v>
      </c>
    </row>
    <row r="195">
      <c r="A195" s="46" t="s">
        <v>2018</v>
      </c>
      <c r="B195" s="46" t="s">
        <v>1997</v>
      </c>
      <c r="C195" s="46" t="s">
        <v>2019</v>
      </c>
      <c r="D195" s="46">
        <v>39.0</v>
      </c>
      <c r="E195" s="46" t="s">
        <v>108</v>
      </c>
      <c r="F195" s="46" t="s">
        <v>710</v>
      </c>
      <c r="G195" s="46">
        <v>10.0</v>
      </c>
      <c r="H195" s="46" t="s">
        <v>848</v>
      </c>
      <c r="I195" s="46" t="s">
        <v>659</v>
      </c>
      <c r="J195" s="46" t="s">
        <v>2020</v>
      </c>
      <c r="K195" s="47">
        <v>0.93</v>
      </c>
      <c r="L195" s="46" t="s">
        <v>659</v>
      </c>
      <c r="M195" s="46" t="s">
        <v>2021</v>
      </c>
      <c r="N195" s="46" t="s">
        <v>2022</v>
      </c>
      <c r="O195" s="46">
        <v>420.0</v>
      </c>
      <c r="P195" s="49">
        <v>46238.0</v>
      </c>
      <c r="Q195" s="50" t="s">
        <v>2023</v>
      </c>
      <c r="R195" s="50" t="s">
        <v>2024</v>
      </c>
      <c r="S195" s="50" t="s">
        <v>2025</v>
      </c>
      <c r="T195" s="46" t="s">
        <v>718</v>
      </c>
    </row>
    <row r="196">
      <c r="A196" s="46" t="s">
        <v>2026</v>
      </c>
      <c r="B196" s="46" t="s">
        <v>1997</v>
      </c>
      <c r="C196" s="46" t="s">
        <v>750</v>
      </c>
      <c r="D196" s="46">
        <v>19.0</v>
      </c>
      <c r="E196" s="46" t="s">
        <v>44</v>
      </c>
      <c r="F196" s="46" t="s">
        <v>710</v>
      </c>
      <c r="G196" s="46">
        <v>1.0</v>
      </c>
      <c r="H196" s="46" t="s">
        <v>751</v>
      </c>
      <c r="I196" s="46" t="s">
        <v>732</v>
      </c>
      <c r="J196" s="46" t="s">
        <v>752</v>
      </c>
      <c r="K196" s="47">
        <v>0.58</v>
      </c>
      <c r="L196" s="46" t="s">
        <v>753</v>
      </c>
      <c r="M196" s="48" t="s">
        <v>2027</v>
      </c>
      <c r="N196" s="46" t="s">
        <v>2028</v>
      </c>
      <c r="O196" s="46">
        <v>12.0</v>
      </c>
      <c r="P196" s="49">
        <v>46268.0</v>
      </c>
      <c r="Q196" s="50" t="s">
        <v>2029</v>
      </c>
      <c r="R196" s="50" t="s">
        <v>2030</v>
      </c>
      <c r="S196" s="50" t="s">
        <v>2031</v>
      </c>
      <c r="T196" s="46" t="s">
        <v>759</v>
      </c>
    </row>
    <row r="197">
      <c r="A197" s="46" t="s">
        <v>2032</v>
      </c>
      <c r="B197" s="46" t="s">
        <v>1997</v>
      </c>
      <c r="C197" s="46" t="s">
        <v>1079</v>
      </c>
      <c r="D197" s="46">
        <v>36.0</v>
      </c>
      <c r="E197" s="46" t="s">
        <v>1014</v>
      </c>
      <c r="F197" s="46" t="s">
        <v>710</v>
      </c>
      <c r="G197" s="46">
        <v>11.0</v>
      </c>
      <c r="H197" s="46" t="s">
        <v>903</v>
      </c>
      <c r="I197" s="46" t="s">
        <v>659</v>
      </c>
      <c r="J197" s="46" t="s">
        <v>722</v>
      </c>
      <c r="K197" s="47">
        <v>0.96</v>
      </c>
      <c r="L197" s="46" t="s">
        <v>659</v>
      </c>
      <c r="M197" s="46" t="s">
        <v>2033</v>
      </c>
      <c r="N197" s="46" t="s">
        <v>2034</v>
      </c>
      <c r="O197" s="46">
        <v>510.0</v>
      </c>
      <c r="P197" s="49">
        <v>46269.0</v>
      </c>
      <c r="Q197" s="50" t="s">
        <v>2035</v>
      </c>
      <c r="R197" s="50" t="s">
        <v>2036</v>
      </c>
      <c r="S197" s="50" t="s">
        <v>2037</v>
      </c>
      <c r="T197" s="46" t="s">
        <v>718</v>
      </c>
    </row>
    <row r="198">
      <c r="A198" s="46" t="s">
        <v>2038</v>
      </c>
      <c r="B198" s="46" t="s">
        <v>1997</v>
      </c>
      <c r="C198" s="46" t="s">
        <v>1087</v>
      </c>
      <c r="D198" s="46">
        <v>33.0</v>
      </c>
      <c r="E198" s="46" t="s">
        <v>1022</v>
      </c>
      <c r="F198" s="46" t="s">
        <v>710</v>
      </c>
      <c r="G198" s="46">
        <v>6.0</v>
      </c>
      <c r="H198" s="46" t="s">
        <v>941</v>
      </c>
      <c r="I198" s="46" t="s">
        <v>646</v>
      </c>
      <c r="J198" s="46" t="s">
        <v>789</v>
      </c>
      <c r="K198" s="47">
        <v>0.85</v>
      </c>
      <c r="L198" s="46" t="s">
        <v>659</v>
      </c>
      <c r="M198" s="48" t="s">
        <v>2039</v>
      </c>
      <c r="N198" s="46" t="s">
        <v>2040</v>
      </c>
      <c r="O198" s="46">
        <v>148.0</v>
      </c>
      <c r="P198" s="49">
        <v>46177.0</v>
      </c>
      <c r="Q198" s="50" t="s">
        <v>2041</v>
      </c>
      <c r="R198" s="50" t="s">
        <v>2042</v>
      </c>
      <c r="S198" s="50" t="s">
        <v>1312</v>
      </c>
      <c r="T198" s="46" t="s">
        <v>718</v>
      </c>
    </row>
    <row r="199">
      <c r="A199" s="46" t="s">
        <v>2043</v>
      </c>
      <c r="B199" s="46" t="s">
        <v>1997</v>
      </c>
      <c r="C199" s="46" t="s">
        <v>863</v>
      </c>
      <c r="D199" s="46">
        <v>25.0</v>
      </c>
      <c r="E199" s="46" t="s">
        <v>1414</v>
      </c>
      <c r="F199" s="46" t="s">
        <v>710</v>
      </c>
      <c r="G199" s="46">
        <v>3.0</v>
      </c>
      <c r="H199" s="46" t="s">
        <v>807</v>
      </c>
      <c r="I199" s="46" t="s">
        <v>646</v>
      </c>
      <c r="J199" s="46" t="s">
        <v>832</v>
      </c>
      <c r="K199" s="47">
        <v>0.74</v>
      </c>
      <c r="L199" s="46" t="s">
        <v>646</v>
      </c>
      <c r="M199" s="48" t="s">
        <v>2044</v>
      </c>
      <c r="N199" s="46" t="s">
        <v>2045</v>
      </c>
      <c r="O199" s="46">
        <v>64.0</v>
      </c>
      <c r="P199" s="49">
        <v>46085.0</v>
      </c>
      <c r="Q199" s="50" t="s">
        <v>2046</v>
      </c>
      <c r="R199" s="50" t="s">
        <v>2047</v>
      </c>
      <c r="S199" s="50" t="s">
        <v>1789</v>
      </c>
      <c r="T199" s="46" t="s">
        <v>739</v>
      </c>
    </row>
    <row r="200">
      <c r="A200" s="46" t="s">
        <v>2048</v>
      </c>
      <c r="B200" s="46" t="s">
        <v>1997</v>
      </c>
      <c r="C200" s="46" t="s">
        <v>1029</v>
      </c>
      <c r="D200" s="46">
        <v>41.0</v>
      </c>
      <c r="E200" s="46" t="s">
        <v>77</v>
      </c>
      <c r="F200" s="46" t="s">
        <v>710</v>
      </c>
      <c r="G200" s="46">
        <v>16.0</v>
      </c>
      <c r="H200" s="46" t="s">
        <v>780</v>
      </c>
      <c r="I200" s="46" t="s">
        <v>659</v>
      </c>
      <c r="J200" s="46" t="s">
        <v>2049</v>
      </c>
      <c r="K200" s="47">
        <v>0.97</v>
      </c>
      <c r="L200" s="46" t="s">
        <v>659</v>
      </c>
      <c r="M200" s="46" t="s">
        <v>2050</v>
      </c>
      <c r="N200" s="46" t="s">
        <v>2051</v>
      </c>
      <c r="O200" s="46">
        <v>710.0</v>
      </c>
      <c r="P200" s="46" t="s">
        <v>801</v>
      </c>
      <c r="Q200" s="50" t="s">
        <v>2052</v>
      </c>
      <c r="R200" s="50" t="s">
        <v>2053</v>
      </c>
      <c r="S200" s="50" t="s">
        <v>1899</v>
      </c>
      <c r="T200" s="46" t="s">
        <v>718</v>
      </c>
    </row>
    <row r="201">
      <c r="A201" s="46" t="s">
        <v>2054</v>
      </c>
      <c r="B201" s="46" t="s">
        <v>1997</v>
      </c>
      <c r="C201" s="46" t="s">
        <v>1428</v>
      </c>
      <c r="D201" s="46">
        <v>30.0</v>
      </c>
      <c r="E201" s="46" t="s">
        <v>99</v>
      </c>
      <c r="F201" s="46" t="s">
        <v>730</v>
      </c>
      <c r="G201" s="46">
        <v>5.0</v>
      </c>
      <c r="H201" s="46" t="s">
        <v>1429</v>
      </c>
      <c r="I201" s="46" t="s">
        <v>646</v>
      </c>
      <c r="J201" s="46" t="s">
        <v>918</v>
      </c>
      <c r="K201" s="47">
        <v>0.86</v>
      </c>
      <c r="L201" s="46" t="s">
        <v>659</v>
      </c>
      <c r="M201" s="48" t="s">
        <v>2055</v>
      </c>
      <c r="N201" s="46" t="s">
        <v>2040</v>
      </c>
      <c r="O201" s="46">
        <v>190.0</v>
      </c>
      <c r="P201" s="49">
        <v>46207.0</v>
      </c>
      <c r="Q201" s="50" t="s">
        <v>2056</v>
      </c>
      <c r="R201" s="50" t="s">
        <v>2057</v>
      </c>
      <c r="S201" s="50" t="s">
        <v>2058</v>
      </c>
      <c r="T201" s="46" t="s">
        <v>718</v>
      </c>
    </row>
    <row r="202">
      <c r="A202" s="46" t="s">
        <v>2059</v>
      </c>
      <c r="B202" s="46" t="s">
        <v>2060</v>
      </c>
      <c r="C202" s="46" t="s">
        <v>709</v>
      </c>
      <c r="D202" s="46">
        <v>28.0</v>
      </c>
      <c r="E202" s="46" t="s">
        <v>44</v>
      </c>
      <c r="F202" s="46" t="s">
        <v>710</v>
      </c>
      <c r="G202" s="46">
        <v>4.0</v>
      </c>
      <c r="H202" s="46" t="s">
        <v>822</v>
      </c>
      <c r="I202" s="46" t="s">
        <v>646</v>
      </c>
      <c r="J202" s="46" t="s">
        <v>2061</v>
      </c>
      <c r="K202" s="47">
        <v>0.9</v>
      </c>
      <c r="L202" s="46" t="s">
        <v>659</v>
      </c>
      <c r="M202" s="48" t="s">
        <v>2062</v>
      </c>
      <c r="N202" s="46" t="s">
        <v>2063</v>
      </c>
      <c r="O202" s="46">
        <v>140.0</v>
      </c>
      <c r="P202" s="49">
        <v>46177.0</v>
      </c>
      <c r="Q202" s="50" t="s">
        <v>2064</v>
      </c>
      <c r="R202" s="50" t="s">
        <v>2065</v>
      </c>
      <c r="S202" s="50" t="s">
        <v>2066</v>
      </c>
      <c r="T202" s="46" t="s">
        <v>718</v>
      </c>
    </row>
    <row r="203">
      <c r="A203" s="46" t="s">
        <v>2067</v>
      </c>
      <c r="B203" s="46" t="s">
        <v>2060</v>
      </c>
      <c r="C203" s="46" t="s">
        <v>1314</v>
      </c>
      <c r="D203" s="46">
        <v>37.0</v>
      </c>
      <c r="E203" s="46" t="s">
        <v>147</v>
      </c>
      <c r="F203" s="46" t="s">
        <v>710</v>
      </c>
      <c r="G203" s="46">
        <v>12.0</v>
      </c>
      <c r="H203" s="46" t="s">
        <v>780</v>
      </c>
      <c r="I203" s="46" t="s">
        <v>659</v>
      </c>
      <c r="J203" s="46" t="s">
        <v>2068</v>
      </c>
      <c r="K203" s="47">
        <v>0.96</v>
      </c>
      <c r="L203" s="46" t="s">
        <v>659</v>
      </c>
      <c r="M203" s="46" t="s">
        <v>2069</v>
      </c>
      <c r="N203" s="46" t="s">
        <v>2070</v>
      </c>
      <c r="O203" s="46">
        <v>520.0</v>
      </c>
      <c r="P203" s="49">
        <v>46269.0</v>
      </c>
      <c r="Q203" s="50" t="s">
        <v>2071</v>
      </c>
      <c r="R203" s="50" t="s">
        <v>2072</v>
      </c>
      <c r="S203" s="50" t="s">
        <v>2073</v>
      </c>
      <c r="T203" s="46" t="s">
        <v>718</v>
      </c>
    </row>
    <row r="204">
      <c r="A204" s="46" t="s">
        <v>2074</v>
      </c>
      <c r="B204" s="46" t="s">
        <v>2060</v>
      </c>
      <c r="C204" s="46" t="s">
        <v>1886</v>
      </c>
      <c r="D204" s="46">
        <v>24.0</v>
      </c>
      <c r="E204" s="46" t="s">
        <v>232</v>
      </c>
      <c r="F204" s="46" t="s">
        <v>730</v>
      </c>
      <c r="G204" s="46">
        <v>2.0</v>
      </c>
      <c r="H204" s="46" t="s">
        <v>788</v>
      </c>
      <c r="I204" s="46" t="s">
        <v>646</v>
      </c>
      <c r="J204" s="46" t="s">
        <v>2061</v>
      </c>
      <c r="K204" s="47">
        <v>0.75</v>
      </c>
      <c r="L204" s="46" t="s">
        <v>646</v>
      </c>
      <c r="M204" s="48" t="s">
        <v>2075</v>
      </c>
      <c r="N204" s="46" t="s">
        <v>2076</v>
      </c>
      <c r="O204" s="46">
        <v>34.0</v>
      </c>
      <c r="P204" s="49">
        <v>46057.0</v>
      </c>
      <c r="Q204" s="50" t="s">
        <v>2077</v>
      </c>
      <c r="R204" s="50" t="s">
        <v>2078</v>
      </c>
      <c r="S204" s="50" t="s">
        <v>1876</v>
      </c>
      <c r="T204" s="46" t="s">
        <v>739</v>
      </c>
    </row>
    <row r="205">
      <c r="A205" s="46" t="s">
        <v>2079</v>
      </c>
      <c r="B205" s="46" t="s">
        <v>2060</v>
      </c>
      <c r="C205" s="46" t="s">
        <v>1013</v>
      </c>
      <c r="D205" s="46">
        <v>45.0</v>
      </c>
      <c r="E205" s="46" t="s">
        <v>44</v>
      </c>
      <c r="F205" s="46" t="s">
        <v>710</v>
      </c>
      <c r="G205" s="46">
        <v>20.0</v>
      </c>
      <c r="H205" s="46" t="s">
        <v>956</v>
      </c>
      <c r="I205" s="46" t="s">
        <v>659</v>
      </c>
      <c r="J205" s="46" t="s">
        <v>2068</v>
      </c>
      <c r="K205" s="47">
        <v>0.98</v>
      </c>
      <c r="L205" s="46" t="s">
        <v>659</v>
      </c>
      <c r="M205" s="46" t="s">
        <v>2080</v>
      </c>
      <c r="N205" s="46" t="s">
        <v>2081</v>
      </c>
      <c r="O205" s="46">
        <v>820.0</v>
      </c>
      <c r="P205" s="46" t="s">
        <v>801</v>
      </c>
      <c r="Q205" s="50" t="s">
        <v>2082</v>
      </c>
      <c r="R205" s="50" t="s">
        <v>2083</v>
      </c>
      <c r="S205" s="50" t="s">
        <v>1829</v>
      </c>
      <c r="T205" s="46" t="s">
        <v>718</v>
      </c>
    </row>
    <row r="206">
      <c r="A206" s="46" t="s">
        <v>2084</v>
      </c>
      <c r="B206" s="46" t="s">
        <v>2060</v>
      </c>
      <c r="C206" s="46" t="s">
        <v>1087</v>
      </c>
      <c r="D206" s="46">
        <v>31.0</v>
      </c>
      <c r="E206" s="46" t="s">
        <v>1022</v>
      </c>
      <c r="F206" s="46" t="s">
        <v>730</v>
      </c>
      <c r="G206" s="46">
        <v>6.0</v>
      </c>
      <c r="H206" s="46" t="s">
        <v>1429</v>
      </c>
      <c r="I206" s="46" t="s">
        <v>646</v>
      </c>
      <c r="J206" s="46" t="s">
        <v>2020</v>
      </c>
      <c r="K206" s="47">
        <v>0.88</v>
      </c>
      <c r="L206" s="46" t="s">
        <v>659</v>
      </c>
      <c r="M206" s="48" t="s">
        <v>2085</v>
      </c>
      <c r="N206" s="46" t="s">
        <v>2086</v>
      </c>
      <c r="O206" s="46">
        <v>148.0</v>
      </c>
      <c r="P206" s="49">
        <v>46177.0</v>
      </c>
      <c r="Q206" s="50" t="s">
        <v>2087</v>
      </c>
      <c r="R206" s="50" t="s">
        <v>2088</v>
      </c>
      <c r="S206" s="50" t="s">
        <v>2089</v>
      </c>
      <c r="T206" s="46" t="s">
        <v>718</v>
      </c>
    </row>
    <row r="207">
      <c r="A207" s="46" t="s">
        <v>2090</v>
      </c>
      <c r="B207" s="46" t="s">
        <v>2060</v>
      </c>
      <c r="C207" s="46" t="s">
        <v>839</v>
      </c>
      <c r="D207" s="46">
        <v>23.0</v>
      </c>
      <c r="E207" s="46" t="s">
        <v>108</v>
      </c>
      <c r="F207" s="46" t="s">
        <v>730</v>
      </c>
      <c r="G207" s="46">
        <v>1.0</v>
      </c>
      <c r="H207" s="46" t="s">
        <v>731</v>
      </c>
      <c r="I207" s="46" t="s">
        <v>732</v>
      </c>
      <c r="J207" s="46" t="s">
        <v>2091</v>
      </c>
      <c r="K207" s="47">
        <v>0.6</v>
      </c>
      <c r="L207" s="46" t="s">
        <v>753</v>
      </c>
      <c r="M207" s="48" t="s">
        <v>2092</v>
      </c>
      <c r="N207" s="46" t="s">
        <v>2093</v>
      </c>
      <c r="O207" s="46">
        <v>10.0</v>
      </c>
      <c r="P207" s="49">
        <v>46237.0</v>
      </c>
      <c r="Q207" s="50" t="s">
        <v>2094</v>
      </c>
      <c r="R207" s="50" t="s">
        <v>2095</v>
      </c>
      <c r="S207" s="50" t="s">
        <v>1973</v>
      </c>
      <c r="T207" s="46" t="s">
        <v>759</v>
      </c>
    </row>
    <row r="208">
      <c r="A208" s="46" t="s">
        <v>2096</v>
      </c>
      <c r="B208" s="46" t="s">
        <v>2060</v>
      </c>
      <c r="C208" s="46" t="s">
        <v>1079</v>
      </c>
      <c r="D208" s="46">
        <v>39.0</v>
      </c>
      <c r="E208" s="46" t="s">
        <v>1014</v>
      </c>
      <c r="F208" s="46" t="s">
        <v>730</v>
      </c>
      <c r="G208" s="46">
        <v>14.0</v>
      </c>
      <c r="H208" s="46" t="s">
        <v>721</v>
      </c>
      <c r="I208" s="46" t="s">
        <v>659</v>
      </c>
      <c r="J208" s="46" t="s">
        <v>2068</v>
      </c>
      <c r="K208" s="47">
        <v>0.97</v>
      </c>
      <c r="L208" s="46" t="s">
        <v>659</v>
      </c>
      <c r="M208" s="46" t="s">
        <v>2097</v>
      </c>
      <c r="N208" s="46" t="s">
        <v>2098</v>
      </c>
      <c r="O208" s="46">
        <v>610.0</v>
      </c>
      <c r="P208" s="49">
        <v>46269.0</v>
      </c>
      <c r="Q208" s="50" t="s">
        <v>2099</v>
      </c>
      <c r="R208" s="50" t="s">
        <v>2100</v>
      </c>
      <c r="S208" s="50" t="s">
        <v>2101</v>
      </c>
      <c r="T208" s="46" t="s">
        <v>718</v>
      </c>
    </row>
    <row r="209">
      <c r="A209" s="46" t="s">
        <v>2102</v>
      </c>
      <c r="B209" s="46" t="s">
        <v>2060</v>
      </c>
      <c r="C209" s="46" t="s">
        <v>863</v>
      </c>
      <c r="D209" s="46">
        <v>26.0</v>
      </c>
      <c r="E209" s="46" t="s">
        <v>1414</v>
      </c>
      <c r="F209" s="46" t="s">
        <v>730</v>
      </c>
      <c r="G209" s="46">
        <v>3.0</v>
      </c>
      <c r="H209" s="46" t="s">
        <v>762</v>
      </c>
      <c r="I209" s="46" t="s">
        <v>646</v>
      </c>
      <c r="J209" s="46" t="s">
        <v>2061</v>
      </c>
      <c r="K209" s="47">
        <v>0.78</v>
      </c>
      <c r="L209" s="46" t="s">
        <v>646</v>
      </c>
      <c r="M209" s="48" t="s">
        <v>2103</v>
      </c>
      <c r="N209" s="46" t="s">
        <v>2076</v>
      </c>
      <c r="O209" s="46">
        <v>64.0</v>
      </c>
      <c r="P209" s="49">
        <v>46085.0</v>
      </c>
      <c r="Q209" s="50" t="s">
        <v>2104</v>
      </c>
      <c r="R209" s="50" t="s">
        <v>2105</v>
      </c>
      <c r="S209" s="50" t="s">
        <v>1876</v>
      </c>
      <c r="T209" s="46" t="s">
        <v>739</v>
      </c>
    </row>
    <row r="210">
      <c r="A210" s="46" t="s">
        <v>2106</v>
      </c>
      <c r="B210" s="46" t="s">
        <v>2060</v>
      </c>
      <c r="C210" s="46" t="s">
        <v>1029</v>
      </c>
      <c r="D210" s="46">
        <v>42.0</v>
      </c>
      <c r="E210" s="46" t="s">
        <v>77</v>
      </c>
      <c r="F210" s="46" t="s">
        <v>710</v>
      </c>
      <c r="G210" s="46">
        <v>18.0</v>
      </c>
      <c r="H210" s="46" t="s">
        <v>1857</v>
      </c>
      <c r="I210" s="46" t="s">
        <v>659</v>
      </c>
      <c r="J210" s="46" t="s">
        <v>2068</v>
      </c>
      <c r="K210" s="47">
        <v>0.99</v>
      </c>
      <c r="L210" s="46" t="s">
        <v>659</v>
      </c>
      <c r="M210" s="46" t="s">
        <v>2107</v>
      </c>
      <c r="N210" s="46" t="s">
        <v>2108</v>
      </c>
      <c r="O210" s="46">
        <v>910.0</v>
      </c>
      <c r="P210" s="46" t="s">
        <v>801</v>
      </c>
      <c r="Q210" s="50" t="s">
        <v>2109</v>
      </c>
      <c r="R210" s="50" t="s">
        <v>2110</v>
      </c>
      <c r="S210" s="50" t="s">
        <v>1829</v>
      </c>
      <c r="T210" s="46" t="s">
        <v>718</v>
      </c>
    </row>
    <row r="211">
      <c r="A211" s="46" t="s">
        <v>2111</v>
      </c>
      <c r="B211" s="46" t="s">
        <v>2060</v>
      </c>
      <c r="C211" s="46" t="s">
        <v>1428</v>
      </c>
      <c r="D211" s="46">
        <v>30.0</v>
      </c>
      <c r="E211" s="46" t="s">
        <v>99</v>
      </c>
      <c r="F211" s="46" t="s">
        <v>730</v>
      </c>
      <c r="G211" s="46">
        <v>5.0</v>
      </c>
      <c r="H211" s="46" t="s">
        <v>1962</v>
      </c>
      <c r="I211" s="46" t="s">
        <v>646</v>
      </c>
      <c r="J211" s="46" t="s">
        <v>2020</v>
      </c>
      <c r="K211" s="47">
        <v>0.86</v>
      </c>
      <c r="L211" s="46" t="s">
        <v>659</v>
      </c>
      <c r="M211" s="48" t="s">
        <v>2112</v>
      </c>
      <c r="N211" s="46" t="s">
        <v>2113</v>
      </c>
      <c r="O211" s="46">
        <v>190.0</v>
      </c>
      <c r="P211" s="49">
        <v>46207.0</v>
      </c>
      <c r="Q211" s="50" t="s">
        <v>2114</v>
      </c>
      <c r="R211" s="50" t="s">
        <v>2115</v>
      </c>
      <c r="S211" s="50" t="s">
        <v>2066</v>
      </c>
      <c r="T211" s="46" t="s">
        <v>718</v>
      </c>
    </row>
    <row r="212">
      <c r="A212" s="46" t="s">
        <v>2116</v>
      </c>
      <c r="B212" s="46" t="s">
        <v>2117</v>
      </c>
      <c r="C212" s="46" t="s">
        <v>1395</v>
      </c>
      <c r="D212" s="46">
        <v>31.0</v>
      </c>
      <c r="E212" s="46" t="s">
        <v>44</v>
      </c>
      <c r="F212" s="46" t="s">
        <v>710</v>
      </c>
      <c r="G212" s="46">
        <v>6.0</v>
      </c>
      <c r="H212" s="46" t="s">
        <v>2118</v>
      </c>
      <c r="I212" s="46" t="s">
        <v>659</v>
      </c>
      <c r="J212" s="46" t="s">
        <v>722</v>
      </c>
      <c r="K212" s="47">
        <v>0.85</v>
      </c>
      <c r="L212" s="46" t="s">
        <v>659</v>
      </c>
      <c r="M212" s="48" t="s">
        <v>2119</v>
      </c>
      <c r="N212" s="46" t="s">
        <v>2120</v>
      </c>
      <c r="O212" s="46">
        <v>210.0</v>
      </c>
      <c r="P212" s="49">
        <v>46085.0</v>
      </c>
      <c r="Q212" s="50" t="s">
        <v>2121</v>
      </c>
      <c r="R212" s="50" t="s">
        <v>2122</v>
      </c>
      <c r="S212" s="50" t="s">
        <v>2123</v>
      </c>
      <c r="T212" s="46" t="s">
        <v>718</v>
      </c>
    </row>
    <row r="213">
      <c r="A213" s="46" t="s">
        <v>2124</v>
      </c>
      <c r="B213" s="46" t="s">
        <v>2117</v>
      </c>
      <c r="C213" s="46" t="s">
        <v>720</v>
      </c>
      <c r="D213" s="46">
        <v>28.0</v>
      </c>
      <c r="E213" s="46" t="s">
        <v>147</v>
      </c>
      <c r="F213" s="46" t="s">
        <v>710</v>
      </c>
      <c r="G213" s="46">
        <v>4.0</v>
      </c>
      <c r="H213" s="46" t="s">
        <v>2125</v>
      </c>
      <c r="I213" s="46" t="s">
        <v>646</v>
      </c>
      <c r="J213" s="46" t="s">
        <v>789</v>
      </c>
      <c r="K213" s="47">
        <v>0.78</v>
      </c>
      <c r="L213" s="46" t="s">
        <v>646</v>
      </c>
      <c r="M213" s="48" t="s">
        <v>2126</v>
      </c>
      <c r="N213" s="46" t="s">
        <v>2127</v>
      </c>
      <c r="O213" s="46">
        <v>120.0</v>
      </c>
      <c r="P213" s="49">
        <v>46116.0</v>
      </c>
      <c r="Q213" s="50" t="s">
        <v>2128</v>
      </c>
      <c r="R213" s="50" t="s">
        <v>2129</v>
      </c>
      <c r="S213" s="50" t="s">
        <v>2130</v>
      </c>
      <c r="T213" s="46" t="s">
        <v>739</v>
      </c>
    </row>
    <row r="214">
      <c r="A214" s="46" t="s">
        <v>2131</v>
      </c>
      <c r="B214" s="46" t="s">
        <v>2117</v>
      </c>
      <c r="C214" s="46" t="s">
        <v>2132</v>
      </c>
      <c r="D214" s="46">
        <v>24.0</v>
      </c>
      <c r="E214" s="46" t="s">
        <v>232</v>
      </c>
      <c r="F214" s="46" t="s">
        <v>710</v>
      </c>
      <c r="G214" s="46">
        <v>2.0</v>
      </c>
      <c r="H214" s="46" t="s">
        <v>2133</v>
      </c>
      <c r="I214" s="46" t="s">
        <v>732</v>
      </c>
      <c r="J214" s="46" t="s">
        <v>2134</v>
      </c>
      <c r="K214" s="47">
        <v>0.66</v>
      </c>
      <c r="L214" s="46" t="s">
        <v>646</v>
      </c>
      <c r="M214" s="48" t="s">
        <v>2135</v>
      </c>
      <c r="N214" s="46" t="s">
        <v>2136</v>
      </c>
      <c r="O214" s="46">
        <v>48.0</v>
      </c>
      <c r="P214" s="46" t="s">
        <v>881</v>
      </c>
      <c r="Q214" s="50" t="s">
        <v>2137</v>
      </c>
      <c r="R214" s="50" t="s">
        <v>2138</v>
      </c>
      <c r="S214" s="50" t="s">
        <v>2139</v>
      </c>
      <c r="T214" s="46" t="s">
        <v>739</v>
      </c>
    </row>
    <row r="215">
      <c r="A215" s="46" t="s">
        <v>2140</v>
      </c>
      <c r="B215" s="46" t="s">
        <v>2117</v>
      </c>
      <c r="C215" s="46" t="s">
        <v>2141</v>
      </c>
      <c r="D215" s="46">
        <v>40.0</v>
      </c>
      <c r="E215" s="46" t="s">
        <v>57</v>
      </c>
      <c r="F215" s="46" t="s">
        <v>730</v>
      </c>
      <c r="G215" s="46">
        <v>12.0</v>
      </c>
      <c r="H215" s="46" t="s">
        <v>2142</v>
      </c>
      <c r="I215" s="46" t="s">
        <v>659</v>
      </c>
      <c r="J215" s="46" t="s">
        <v>2143</v>
      </c>
      <c r="K215" s="47">
        <v>0.92</v>
      </c>
      <c r="L215" s="46" t="s">
        <v>659</v>
      </c>
      <c r="M215" s="46" t="s">
        <v>2144</v>
      </c>
      <c r="N215" s="46" t="s">
        <v>2145</v>
      </c>
      <c r="O215" s="46">
        <v>520.0</v>
      </c>
      <c r="P215" s="49">
        <v>46238.0</v>
      </c>
      <c r="Q215" s="50" t="s">
        <v>2146</v>
      </c>
      <c r="R215" s="50" t="s">
        <v>2147</v>
      </c>
      <c r="S215" s="50" t="s">
        <v>2148</v>
      </c>
      <c r="T215" s="46" t="s">
        <v>718</v>
      </c>
    </row>
    <row r="216">
      <c r="A216" s="46" t="s">
        <v>2149</v>
      </c>
      <c r="B216" s="46" t="s">
        <v>2117</v>
      </c>
      <c r="C216" s="46" t="s">
        <v>2150</v>
      </c>
      <c r="D216" s="46">
        <v>21.0</v>
      </c>
      <c r="E216" s="46" t="s">
        <v>108</v>
      </c>
      <c r="F216" s="46" t="s">
        <v>710</v>
      </c>
      <c r="G216" s="46">
        <v>1.0</v>
      </c>
      <c r="H216" s="46" t="s">
        <v>2151</v>
      </c>
      <c r="I216" s="46" t="s">
        <v>732</v>
      </c>
      <c r="J216" s="46" t="s">
        <v>752</v>
      </c>
      <c r="K216" s="47">
        <v>0.55</v>
      </c>
      <c r="L216" s="46" t="s">
        <v>753</v>
      </c>
      <c r="M216" s="48" t="s">
        <v>2152</v>
      </c>
      <c r="N216" s="46" t="s">
        <v>2136</v>
      </c>
      <c r="O216" s="46">
        <v>14.0</v>
      </c>
      <c r="P216" s="49">
        <v>46206.0</v>
      </c>
      <c r="Q216" s="50" t="s">
        <v>2153</v>
      </c>
      <c r="R216" s="50" t="s">
        <v>2154</v>
      </c>
      <c r="S216" s="50" t="s">
        <v>2155</v>
      </c>
      <c r="T216" s="46" t="s">
        <v>759</v>
      </c>
    </row>
    <row r="217">
      <c r="A217" s="46" t="s">
        <v>2156</v>
      </c>
      <c r="B217" s="46" t="s">
        <v>2117</v>
      </c>
      <c r="C217" s="46" t="s">
        <v>1079</v>
      </c>
      <c r="D217" s="46">
        <v>36.0</v>
      </c>
      <c r="E217" s="46" t="s">
        <v>1014</v>
      </c>
      <c r="F217" s="46" t="s">
        <v>730</v>
      </c>
      <c r="G217" s="46">
        <v>10.0</v>
      </c>
      <c r="H217" s="46" t="s">
        <v>2157</v>
      </c>
      <c r="I217" s="46" t="s">
        <v>659</v>
      </c>
      <c r="J217" s="46" t="s">
        <v>722</v>
      </c>
      <c r="K217" s="47">
        <v>0.94</v>
      </c>
      <c r="L217" s="46" t="s">
        <v>659</v>
      </c>
      <c r="M217" s="46" t="s">
        <v>2158</v>
      </c>
      <c r="N217" s="46" t="s">
        <v>2159</v>
      </c>
      <c r="O217" s="46">
        <v>410.0</v>
      </c>
      <c r="P217" s="49">
        <v>46269.0</v>
      </c>
      <c r="Q217" s="50" t="s">
        <v>2160</v>
      </c>
      <c r="R217" s="50" t="s">
        <v>2161</v>
      </c>
      <c r="S217" s="50" t="s">
        <v>2162</v>
      </c>
      <c r="T217" s="46" t="s">
        <v>718</v>
      </c>
    </row>
    <row r="218">
      <c r="A218" s="46" t="s">
        <v>2163</v>
      </c>
      <c r="B218" s="46" t="s">
        <v>2117</v>
      </c>
      <c r="C218" s="46" t="s">
        <v>1087</v>
      </c>
      <c r="D218" s="46">
        <v>33.0</v>
      </c>
      <c r="E218" s="46" t="s">
        <v>1022</v>
      </c>
      <c r="F218" s="46" t="s">
        <v>730</v>
      </c>
      <c r="G218" s="46">
        <v>7.0</v>
      </c>
      <c r="H218" s="46" t="s">
        <v>2118</v>
      </c>
      <c r="I218" s="46" t="s">
        <v>646</v>
      </c>
      <c r="J218" s="46" t="s">
        <v>789</v>
      </c>
      <c r="K218" s="47">
        <v>0.88</v>
      </c>
      <c r="L218" s="46" t="s">
        <v>659</v>
      </c>
      <c r="M218" s="48" t="s">
        <v>2164</v>
      </c>
      <c r="N218" s="46" t="s">
        <v>2165</v>
      </c>
      <c r="O218" s="46">
        <v>260.0</v>
      </c>
      <c r="P218" s="49">
        <v>46177.0</v>
      </c>
      <c r="Q218" s="50" t="s">
        <v>2166</v>
      </c>
      <c r="R218" s="50" t="s">
        <v>2167</v>
      </c>
      <c r="S218" s="50" t="s">
        <v>1290</v>
      </c>
      <c r="T218" s="46" t="s">
        <v>718</v>
      </c>
    </row>
    <row r="219">
      <c r="A219" s="46" t="s">
        <v>2168</v>
      </c>
      <c r="B219" s="46" t="s">
        <v>2117</v>
      </c>
      <c r="C219" s="46" t="s">
        <v>863</v>
      </c>
      <c r="D219" s="46">
        <v>26.0</v>
      </c>
      <c r="E219" s="46" t="s">
        <v>1414</v>
      </c>
      <c r="F219" s="46" t="s">
        <v>730</v>
      </c>
      <c r="G219" s="46">
        <v>3.0</v>
      </c>
      <c r="H219" s="46" t="s">
        <v>2125</v>
      </c>
      <c r="I219" s="46" t="s">
        <v>646</v>
      </c>
      <c r="J219" s="46" t="s">
        <v>832</v>
      </c>
      <c r="K219" s="47">
        <v>0.74</v>
      </c>
      <c r="L219" s="46" t="s">
        <v>646</v>
      </c>
      <c r="M219" s="48" t="s">
        <v>2169</v>
      </c>
      <c r="N219" s="46" t="s">
        <v>2170</v>
      </c>
      <c r="O219" s="46">
        <v>82.0</v>
      </c>
      <c r="P219" s="49">
        <v>46085.0</v>
      </c>
      <c r="Q219" s="50" t="s">
        <v>2171</v>
      </c>
      <c r="R219" s="50" t="s">
        <v>2172</v>
      </c>
      <c r="S219" s="50" t="s">
        <v>1789</v>
      </c>
      <c r="T219" s="46" t="s">
        <v>739</v>
      </c>
    </row>
    <row r="220">
      <c r="A220" s="46" t="s">
        <v>2173</v>
      </c>
      <c r="B220" s="46" t="s">
        <v>2117</v>
      </c>
      <c r="C220" s="46" t="s">
        <v>1029</v>
      </c>
      <c r="D220" s="46">
        <v>42.0</v>
      </c>
      <c r="E220" s="46" t="s">
        <v>77</v>
      </c>
      <c r="F220" s="46" t="s">
        <v>730</v>
      </c>
      <c r="G220" s="46">
        <v>17.0</v>
      </c>
      <c r="H220" s="46" t="s">
        <v>2142</v>
      </c>
      <c r="I220" s="46" t="s">
        <v>659</v>
      </c>
      <c r="J220" s="46" t="s">
        <v>722</v>
      </c>
      <c r="K220" s="47">
        <v>0.98</v>
      </c>
      <c r="L220" s="46" t="s">
        <v>659</v>
      </c>
      <c r="M220" s="46" t="s">
        <v>2174</v>
      </c>
      <c r="N220" s="46" t="s">
        <v>2175</v>
      </c>
      <c r="O220" s="46">
        <v>910.0</v>
      </c>
      <c r="P220" s="46" t="s">
        <v>801</v>
      </c>
      <c r="Q220" s="50" t="s">
        <v>2176</v>
      </c>
      <c r="R220" s="50" t="s">
        <v>2177</v>
      </c>
      <c r="S220" s="50" t="s">
        <v>1795</v>
      </c>
      <c r="T220" s="46" t="s">
        <v>718</v>
      </c>
    </row>
    <row r="221">
      <c r="A221" s="46" t="s">
        <v>2178</v>
      </c>
      <c r="B221" s="46" t="s">
        <v>2117</v>
      </c>
      <c r="C221" s="46" t="s">
        <v>1428</v>
      </c>
      <c r="D221" s="46">
        <v>30.0</v>
      </c>
      <c r="E221" s="46" t="s">
        <v>99</v>
      </c>
      <c r="F221" s="46" t="s">
        <v>730</v>
      </c>
      <c r="G221" s="46">
        <v>5.0</v>
      </c>
      <c r="H221" s="46" t="s">
        <v>2118</v>
      </c>
      <c r="I221" s="46" t="s">
        <v>646</v>
      </c>
      <c r="J221" s="46" t="s">
        <v>918</v>
      </c>
      <c r="K221" s="47">
        <v>0.86</v>
      </c>
      <c r="L221" s="46" t="s">
        <v>659</v>
      </c>
      <c r="M221" s="48" t="s">
        <v>2179</v>
      </c>
      <c r="N221" s="46" t="s">
        <v>2180</v>
      </c>
      <c r="O221" s="46">
        <v>190.0</v>
      </c>
      <c r="P221" s="49">
        <v>46207.0</v>
      </c>
      <c r="Q221" s="50" t="s">
        <v>2181</v>
      </c>
      <c r="R221" s="50" t="s">
        <v>2182</v>
      </c>
      <c r="S221" s="50" t="s">
        <v>2183</v>
      </c>
      <c r="T221" s="46" t="s">
        <v>718</v>
      </c>
    </row>
    <row r="222">
      <c r="Q222" s="28"/>
      <c r="R222" s="28"/>
      <c r="S222" s="28"/>
    </row>
    <row r="223">
      <c r="Q223" s="28"/>
      <c r="R223" s="28"/>
      <c r="S223" s="28"/>
    </row>
    <row r="224">
      <c r="Q224" s="28"/>
      <c r="R224" s="28"/>
      <c r="S224" s="28"/>
    </row>
    <row r="225">
      <c r="Q225" s="28"/>
      <c r="R225" s="28"/>
      <c r="S225" s="28"/>
    </row>
    <row r="226">
      <c r="Q226" s="28"/>
      <c r="R226" s="28"/>
      <c r="S226" s="28"/>
    </row>
    <row r="227">
      <c r="Q227" s="28"/>
      <c r="R227" s="28"/>
      <c r="S227" s="28"/>
    </row>
    <row r="228">
      <c r="Q228" s="28"/>
      <c r="R228" s="28"/>
      <c r="S228" s="28"/>
    </row>
    <row r="229">
      <c r="Q229" s="28"/>
      <c r="R229" s="28"/>
      <c r="S229" s="28"/>
    </row>
    <row r="230">
      <c r="Q230" s="28"/>
      <c r="R230" s="28"/>
      <c r="S230" s="28"/>
    </row>
    <row r="231">
      <c r="Q231" s="28"/>
      <c r="R231" s="28"/>
      <c r="S231" s="28"/>
    </row>
    <row r="232">
      <c r="Q232" s="28"/>
      <c r="R232" s="28"/>
      <c r="S232" s="28"/>
    </row>
    <row r="233">
      <c r="Q233" s="28"/>
      <c r="R233" s="28"/>
      <c r="S233" s="28"/>
    </row>
    <row r="234">
      <c r="Q234" s="28"/>
      <c r="R234" s="28"/>
      <c r="S234" s="28"/>
    </row>
    <row r="235">
      <c r="Q235" s="28"/>
      <c r="R235" s="28"/>
      <c r="S235" s="28"/>
    </row>
    <row r="236">
      <c r="Q236" s="28"/>
      <c r="R236" s="28"/>
      <c r="S236" s="28"/>
    </row>
    <row r="237">
      <c r="Q237" s="28"/>
      <c r="R237" s="28"/>
      <c r="S237" s="28"/>
    </row>
    <row r="238">
      <c r="Q238" s="28"/>
      <c r="R238" s="28"/>
      <c r="S238" s="28"/>
    </row>
    <row r="239">
      <c r="Q239" s="28"/>
      <c r="R239" s="28"/>
      <c r="S239" s="28"/>
    </row>
    <row r="240">
      <c r="Q240" s="28"/>
      <c r="R240" s="28"/>
      <c r="S240" s="28"/>
    </row>
    <row r="241">
      <c r="Q241" s="28"/>
      <c r="R241" s="28"/>
      <c r="S241" s="28"/>
    </row>
    <row r="242">
      <c r="Q242" s="28"/>
      <c r="R242" s="28"/>
      <c r="S242" s="28"/>
    </row>
    <row r="243">
      <c r="Q243" s="28"/>
      <c r="R243" s="28"/>
      <c r="S243" s="28"/>
    </row>
    <row r="244">
      <c r="Q244" s="28"/>
      <c r="R244" s="28"/>
      <c r="S244" s="28"/>
    </row>
    <row r="245">
      <c r="Q245" s="28"/>
      <c r="R245" s="28"/>
      <c r="S245" s="28"/>
    </row>
    <row r="246">
      <c r="Q246" s="28"/>
      <c r="R246" s="28"/>
      <c r="S246" s="28"/>
    </row>
    <row r="247">
      <c r="Q247" s="28"/>
      <c r="R247" s="28"/>
      <c r="S247" s="28"/>
    </row>
    <row r="248">
      <c r="Q248" s="28"/>
      <c r="R248" s="28"/>
      <c r="S248" s="28"/>
    </row>
    <row r="249">
      <c r="Q249" s="28"/>
      <c r="R249" s="28"/>
      <c r="S249" s="28"/>
    </row>
    <row r="250">
      <c r="Q250" s="28"/>
      <c r="R250" s="28"/>
      <c r="S250" s="28"/>
    </row>
    <row r="251">
      <c r="Q251" s="28"/>
      <c r="R251" s="28"/>
      <c r="S251" s="28"/>
    </row>
    <row r="252">
      <c r="Q252" s="28"/>
      <c r="R252" s="28"/>
      <c r="S252" s="28"/>
    </row>
    <row r="253">
      <c r="Q253" s="28"/>
      <c r="R253" s="28"/>
      <c r="S253" s="28"/>
    </row>
    <row r="254">
      <c r="Q254" s="28"/>
      <c r="R254" s="28"/>
      <c r="S254" s="28"/>
    </row>
    <row r="255">
      <c r="Q255" s="28"/>
      <c r="R255" s="28"/>
      <c r="S255" s="28"/>
    </row>
    <row r="256">
      <c r="Q256" s="28"/>
      <c r="R256" s="28"/>
      <c r="S256" s="28"/>
    </row>
    <row r="257">
      <c r="Q257" s="28"/>
      <c r="R257" s="28"/>
      <c r="S257" s="28"/>
    </row>
    <row r="258">
      <c r="Q258" s="28"/>
      <c r="R258" s="28"/>
      <c r="S258" s="28"/>
    </row>
    <row r="259">
      <c r="Q259" s="28"/>
      <c r="R259" s="28"/>
      <c r="S259" s="28"/>
    </row>
    <row r="260">
      <c r="Q260" s="28"/>
      <c r="R260" s="28"/>
      <c r="S260" s="28"/>
    </row>
    <row r="261">
      <c r="Q261" s="28"/>
      <c r="R261" s="28"/>
      <c r="S261" s="28"/>
    </row>
    <row r="262">
      <c r="Q262" s="28"/>
      <c r="R262" s="28"/>
      <c r="S262" s="28"/>
    </row>
    <row r="263">
      <c r="Q263" s="28"/>
      <c r="R263" s="28"/>
      <c r="S263" s="28"/>
    </row>
    <row r="264">
      <c r="Q264" s="28"/>
      <c r="R264" s="28"/>
      <c r="S264" s="28"/>
    </row>
    <row r="265">
      <c r="Q265" s="28"/>
      <c r="R265" s="28"/>
      <c r="S265" s="28"/>
    </row>
    <row r="266">
      <c r="Q266" s="28"/>
      <c r="R266" s="28"/>
      <c r="S266" s="28"/>
    </row>
    <row r="267">
      <c r="Q267" s="28"/>
      <c r="R267" s="28"/>
      <c r="S267" s="28"/>
    </row>
    <row r="268">
      <c r="Q268" s="28"/>
      <c r="R268" s="28"/>
      <c r="S268" s="28"/>
    </row>
    <row r="269">
      <c r="Q269" s="28"/>
      <c r="R269" s="28"/>
      <c r="S269" s="28"/>
    </row>
    <row r="270">
      <c r="Q270" s="28"/>
      <c r="R270" s="28"/>
      <c r="S270" s="28"/>
    </row>
    <row r="271">
      <c r="Q271" s="28"/>
      <c r="R271" s="28"/>
      <c r="S271" s="28"/>
    </row>
    <row r="272">
      <c r="Q272" s="28"/>
      <c r="R272" s="28"/>
      <c r="S272" s="28"/>
    </row>
    <row r="273">
      <c r="Q273" s="28"/>
      <c r="R273" s="28"/>
      <c r="S273" s="28"/>
    </row>
    <row r="274">
      <c r="Q274" s="28"/>
      <c r="R274" s="28"/>
      <c r="S274" s="28"/>
    </row>
    <row r="275">
      <c r="Q275" s="28"/>
      <c r="R275" s="28"/>
      <c r="S275" s="28"/>
    </row>
    <row r="276">
      <c r="Q276" s="28"/>
      <c r="R276" s="28"/>
      <c r="S276" s="28"/>
    </row>
    <row r="277">
      <c r="Q277" s="28"/>
      <c r="R277" s="28"/>
      <c r="S277" s="28"/>
    </row>
    <row r="278">
      <c r="Q278" s="28"/>
      <c r="R278" s="28"/>
      <c r="S278" s="28"/>
    </row>
    <row r="279">
      <c r="Q279" s="28"/>
      <c r="R279" s="28"/>
      <c r="S279" s="28"/>
    </row>
    <row r="280">
      <c r="Q280" s="28"/>
      <c r="R280" s="28"/>
      <c r="S280" s="28"/>
    </row>
    <row r="281">
      <c r="Q281" s="28"/>
      <c r="R281" s="28"/>
      <c r="S281" s="28"/>
    </row>
    <row r="282">
      <c r="Q282" s="28"/>
      <c r="R282" s="28"/>
      <c r="S282" s="28"/>
    </row>
    <row r="283">
      <c r="Q283" s="28"/>
      <c r="R283" s="28"/>
      <c r="S283" s="28"/>
    </row>
    <row r="284">
      <c r="Q284" s="28"/>
      <c r="R284" s="28"/>
      <c r="S284" s="28"/>
    </row>
    <row r="285">
      <c r="Q285" s="28"/>
      <c r="R285" s="28"/>
      <c r="S285" s="28"/>
    </row>
    <row r="286">
      <c r="Q286" s="28"/>
      <c r="R286" s="28"/>
      <c r="S286" s="28"/>
    </row>
    <row r="287">
      <c r="Q287" s="28"/>
      <c r="R287" s="28"/>
      <c r="S287" s="28"/>
    </row>
    <row r="288">
      <c r="Q288" s="28"/>
      <c r="R288" s="28"/>
      <c r="S288" s="28"/>
    </row>
    <row r="289">
      <c r="Q289" s="28"/>
      <c r="R289" s="28"/>
      <c r="S289" s="28"/>
    </row>
    <row r="290">
      <c r="Q290" s="28"/>
      <c r="R290" s="28"/>
      <c r="S290" s="28"/>
    </row>
    <row r="291">
      <c r="Q291" s="28"/>
      <c r="R291" s="28"/>
      <c r="S291" s="28"/>
    </row>
    <row r="292">
      <c r="Q292" s="28"/>
      <c r="R292" s="28"/>
      <c r="S292" s="28"/>
    </row>
    <row r="293">
      <c r="Q293" s="28"/>
      <c r="R293" s="28"/>
      <c r="S293" s="28"/>
    </row>
    <row r="294">
      <c r="Q294" s="28"/>
      <c r="R294" s="28"/>
      <c r="S294" s="28"/>
    </row>
    <row r="295">
      <c r="Q295" s="28"/>
      <c r="R295" s="28"/>
      <c r="S295" s="28"/>
    </row>
    <row r="296">
      <c r="Q296" s="28"/>
      <c r="R296" s="28"/>
      <c r="S296" s="28"/>
    </row>
    <row r="297">
      <c r="Q297" s="28"/>
      <c r="R297" s="28"/>
      <c r="S297" s="28"/>
    </row>
    <row r="298">
      <c r="Q298" s="28"/>
      <c r="R298" s="28"/>
      <c r="S298" s="28"/>
    </row>
    <row r="299">
      <c r="Q299" s="28"/>
      <c r="R299" s="28"/>
      <c r="S299" s="28"/>
    </row>
    <row r="300">
      <c r="Q300" s="28"/>
      <c r="R300" s="28"/>
      <c r="S300" s="28"/>
    </row>
    <row r="301">
      <c r="Q301" s="28"/>
      <c r="R301" s="28"/>
      <c r="S301" s="28"/>
    </row>
    <row r="302">
      <c r="Q302" s="28"/>
      <c r="R302" s="28"/>
      <c r="S302" s="28"/>
    </row>
    <row r="303">
      <c r="Q303" s="28"/>
      <c r="R303" s="28"/>
      <c r="S303" s="28"/>
    </row>
    <row r="304">
      <c r="Q304" s="28"/>
      <c r="R304" s="28"/>
      <c r="S304" s="28"/>
    </row>
    <row r="305">
      <c r="Q305" s="28"/>
      <c r="R305" s="28"/>
      <c r="S305" s="28"/>
    </row>
    <row r="306">
      <c r="Q306" s="28"/>
      <c r="R306" s="28"/>
      <c r="S306" s="28"/>
    </row>
    <row r="307">
      <c r="Q307" s="28"/>
      <c r="R307" s="28"/>
      <c r="S307" s="28"/>
    </row>
    <row r="308">
      <c r="Q308" s="28"/>
      <c r="R308" s="28"/>
      <c r="S308" s="28"/>
    </row>
    <row r="309">
      <c r="Q309" s="28"/>
      <c r="R309" s="28"/>
      <c r="S309" s="28"/>
    </row>
    <row r="310">
      <c r="Q310" s="28"/>
      <c r="R310" s="28"/>
      <c r="S310" s="28"/>
    </row>
    <row r="311">
      <c r="Q311" s="28"/>
      <c r="R311" s="28"/>
      <c r="S311" s="28"/>
    </row>
    <row r="312">
      <c r="Q312" s="28"/>
      <c r="R312" s="28"/>
      <c r="S312" s="28"/>
    </row>
    <row r="313">
      <c r="Q313" s="28"/>
      <c r="R313" s="28"/>
      <c r="S313" s="28"/>
    </row>
    <row r="314">
      <c r="Q314" s="28"/>
      <c r="R314" s="28"/>
      <c r="S314" s="28"/>
    </row>
    <row r="315">
      <c r="Q315" s="28"/>
      <c r="R315" s="28"/>
      <c r="S315" s="28"/>
    </row>
    <row r="316">
      <c r="Q316" s="28"/>
      <c r="R316" s="28"/>
      <c r="S316" s="28"/>
    </row>
    <row r="317">
      <c r="Q317" s="28"/>
      <c r="R317" s="28"/>
      <c r="S317" s="28"/>
    </row>
    <row r="318">
      <c r="Q318" s="28"/>
      <c r="R318" s="28"/>
      <c r="S318" s="28"/>
    </row>
    <row r="319">
      <c r="Q319" s="28"/>
      <c r="R319" s="28"/>
      <c r="S319" s="28"/>
    </row>
    <row r="320">
      <c r="Q320" s="28"/>
      <c r="R320" s="28"/>
      <c r="S320" s="28"/>
    </row>
    <row r="321">
      <c r="Q321" s="28"/>
      <c r="R321" s="28"/>
      <c r="S321" s="28"/>
    </row>
    <row r="322">
      <c r="Q322" s="28"/>
      <c r="R322" s="28"/>
      <c r="S322" s="28"/>
    </row>
    <row r="323">
      <c r="Q323" s="28"/>
      <c r="R323" s="28"/>
      <c r="S323" s="28"/>
    </row>
    <row r="324">
      <c r="Q324" s="28"/>
      <c r="R324" s="28"/>
      <c r="S324" s="28"/>
    </row>
    <row r="325">
      <c r="Q325" s="28"/>
      <c r="R325" s="28"/>
      <c r="S325" s="28"/>
    </row>
    <row r="326">
      <c r="Q326" s="28"/>
      <c r="R326" s="28"/>
      <c r="S326" s="28"/>
    </row>
    <row r="327">
      <c r="Q327" s="28"/>
      <c r="R327" s="28"/>
      <c r="S327" s="28"/>
    </row>
    <row r="328">
      <c r="Q328" s="28"/>
      <c r="R328" s="28"/>
      <c r="S328" s="28"/>
    </row>
    <row r="329">
      <c r="Q329" s="28"/>
      <c r="R329" s="28"/>
      <c r="S329" s="28"/>
    </row>
    <row r="330">
      <c r="Q330" s="28"/>
      <c r="R330" s="28"/>
      <c r="S330" s="28"/>
    </row>
    <row r="331">
      <c r="Q331" s="28"/>
      <c r="R331" s="28"/>
      <c r="S331" s="28"/>
    </row>
    <row r="332">
      <c r="Q332" s="28"/>
      <c r="R332" s="28"/>
      <c r="S332" s="28"/>
    </row>
    <row r="333">
      <c r="Q333" s="28"/>
      <c r="R333" s="28"/>
      <c r="S333" s="28"/>
    </row>
    <row r="334">
      <c r="Q334" s="28"/>
      <c r="R334" s="28"/>
      <c r="S334" s="28"/>
    </row>
    <row r="335">
      <c r="Q335" s="28"/>
      <c r="R335" s="28"/>
      <c r="S335" s="28"/>
    </row>
    <row r="336">
      <c r="Q336" s="28"/>
      <c r="R336" s="28"/>
      <c r="S336" s="28"/>
    </row>
    <row r="337">
      <c r="Q337" s="28"/>
      <c r="R337" s="28"/>
      <c r="S337" s="28"/>
    </row>
    <row r="338">
      <c r="Q338" s="28"/>
      <c r="R338" s="28"/>
      <c r="S338" s="28"/>
    </row>
    <row r="339">
      <c r="Q339" s="28"/>
      <c r="R339" s="28"/>
      <c r="S339" s="28"/>
    </row>
    <row r="340">
      <c r="Q340" s="28"/>
      <c r="R340" s="28"/>
      <c r="S340" s="28"/>
    </row>
    <row r="341">
      <c r="Q341" s="28"/>
      <c r="R341" s="28"/>
      <c r="S341" s="28"/>
    </row>
    <row r="342">
      <c r="Q342" s="28"/>
      <c r="R342" s="28"/>
      <c r="S342" s="28"/>
    </row>
    <row r="343">
      <c r="Q343" s="28"/>
      <c r="R343" s="28"/>
      <c r="S343" s="28"/>
    </row>
    <row r="344">
      <c r="Q344" s="28"/>
      <c r="R344" s="28"/>
      <c r="S344" s="28"/>
    </row>
    <row r="345">
      <c r="Q345" s="28"/>
      <c r="R345" s="28"/>
      <c r="S345" s="28"/>
    </row>
    <row r="346">
      <c r="Q346" s="28"/>
      <c r="R346" s="28"/>
      <c r="S346" s="28"/>
    </row>
    <row r="347">
      <c r="Q347" s="28"/>
      <c r="R347" s="28"/>
      <c r="S347" s="28"/>
    </row>
    <row r="348">
      <c r="Q348" s="28"/>
      <c r="R348" s="28"/>
      <c r="S348" s="28"/>
    </row>
    <row r="349">
      <c r="Q349" s="28"/>
      <c r="R349" s="28"/>
      <c r="S349" s="28"/>
    </row>
    <row r="350">
      <c r="Q350" s="28"/>
      <c r="R350" s="28"/>
      <c r="S350" s="28"/>
    </row>
    <row r="351">
      <c r="Q351" s="28"/>
      <c r="R351" s="28"/>
      <c r="S351" s="28"/>
    </row>
    <row r="352">
      <c r="Q352" s="28"/>
      <c r="R352" s="28"/>
      <c r="S352" s="28"/>
    </row>
    <row r="353">
      <c r="Q353" s="28"/>
      <c r="R353" s="28"/>
      <c r="S353" s="28"/>
    </row>
    <row r="354">
      <c r="Q354" s="28"/>
      <c r="R354" s="28"/>
      <c r="S354" s="28"/>
    </row>
    <row r="355">
      <c r="Q355" s="28"/>
      <c r="R355" s="28"/>
      <c r="S355" s="28"/>
    </row>
    <row r="356">
      <c r="Q356" s="28"/>
      <c r="R356" s="28"/>
      <c r="S356" s="28"/>
    </row>
    <row r="357">
      <c r="Q357" s="28"/>
      <c r="R357" s="28"/>
      <c r="S357" s="28"/>
    </row>
    <row r="358">
      <c r="Q358" s="28"/>
      <c r="R358" s="28"/>
      <c r="S358" s="28"/>
    </row>
    <row r="359">
      <c r="Q359" s="28"/>
      <c r="R359" s="28"/>
      <c r="S359" s="28"/>
    </row>
    <row r="360">
      <c r="Q360" s="28"/>
      <c r="R360" s="28"/>
      <c r="S360" s="28"/>
    </row>
    <row r="361">
      <c r="Q361" s="28"/>
      <c r="R361" s="28"/>
      <c r="S361" s="28"/>
    </row>
    <row r="362">
      <c r="Q362" s="28"/>
      <c r="R362" s="28"/>
      <c r="S362" s="28"/>
    </row>
    <row r="363">
      <c r="Q363" s="28"/>
      <c r="R363" s="28"/>
      <c r="S363" s="28"/>
    </row>
    <row r="364">
      <c r="Q364" s="28"/>
      <c r="R364" s="28"/>
      <c r="S364" s="28"/>
    </row>
    <row r="365">
      <c r="Q365" s="28"/>
      <c r="R365" s="28"/>
      <c r="S365" s="28"/>
    </row>
    <row r="366">
      <c r="Q366" s="28"/>
      <c r="R366" s="28"/>
      <c r="S366" s="28"/>
    </row>
    <row r="367">
      <c r="Q367" s="28"/>
      <c r="R367" s="28"/>
      <c r="S367" s="28"/>
    </row>
    <row r="368">
      <c r="Q368" s="28"/>
      <c r="R368" s="28"/>
      <c r="S368" s="28"/>
    </row>
    <row r="369">
      <c r="Q369" s="28"/>
      <c r="R369" s="28"/>
      <c r="S369" s="28"/>
    </row>
    <row r="370">
      <c r="Q370" s="28"/>
      <c r="R370" s="28"/>
      <c r="S370" s="28"/>
    </row>
    <row r="371">
      <c r="Q371" s="28"/>
      <c r="R371" s="28"/>
      <c r="S371" s="28"/>
    </row>
    <row r="372">
      <c r="Q372" s="28"/>
      <c r="R372" s="28"/>
      <c r="S372" s="28"/>
    </row>
    <row r="373">
      <c r="Q373" s="28"/>
      <c r="R373" s="28"/>
      <c r="S373" s="28"/>
    </row>
    <row r="374">
      <c r="Q374" s="28"/>
      <c r="R374" s="28"/>
      <c r="S374" s="28"/>
    </row>
    <row r="375">
      <c r="Q375" s="28"/>
      <c r="R375" s="28"/>
      <c r="S375" s="28"/>
    </row>
    <row r="376">
      <c r="Q376" s="28"/>
      <c r="R376" s="28"/>
      <c r="S376" s="28"/>
    </row>
    <row r="377">
      <c r="Q377" s="28"/>
      <c r="R377" s="28"/>
      <c r="S377" s="28"/>
    </row>
    <row r="378">
      <c r="Q378" s="28"/>
      <c r="R378" s="28"/>
      <c r="S378" s="28"/>
    </row>
    <row r="379">
      <c r="Q379" s="28"/>
      <c r="R379" s="28"/>
      <c r="S379" s="28"/>
    </row>
    <row r="380">
      <c r="Q380" s="28"/>
      <c r="R380" s="28"/>
      <c r="S380" s="28"/>
    </row>
    <row r="381">
      <c r="Q381" s="28"/>
      <c r="R381" s="28"/>
      <c r="S381" s="28"/>
    </row>
    <row r="382">
      <c r="Q382" s="28"/>
      <c r="R382" s="28"/>
      <c r="S382" s="28"/>
    </row>
    <row r="383">
      <c r="Q383" s="28"/>
      <c r="R383" s="28"/>
      <c r="S383" s="28"/>
    </row>
    <row r="384">
      <c r="Q384" s="28"/>
      <c r="R384" s="28"/>
      <c r="S384" s="28"/>
    </row>
    <row r="385">
      <c r="Q385" s="28"/>
      <c r="R385" s="28"/>
      <c r="S385" s="28"/>
    </row>
    <row r="386">
      <c r="Q386" s="28"/>
      <c r="R386" s="28"/>
      <c r="S386" s="28"/>
    </row>
    <row r="387">
      <c r="Q387" s="28"/>
      <c r="R387" s="28"/>
      <c r="S387" s="28"/>
    </row>
    <row r="388">
      <c r="Q388" s="28"/>
      <c r="R388" s="28"/>
      <c r="S388" s="28"/>
    </row>
    <row r="389">
      <c r="Q389" s="28"/>
      <c r="R389" s="28"/>
      <c r="S389" s="28"/>
    </row>
    <row r="390">
      <c r="Q390" s="28"/>
      <c r="R390" s="28"/>
      <c r="S390" s="28"/>
    </row>
    <row r="391">
      <c r="Q391" s="28"/>
      <c r="R391" s="28"/>
      <c r="S391" s="28"/>
    </row>
    <row r="392">
      <c r="Q392" s="28"/>
      <c r="R392" s="28"/>
      <c r="S392" s="28"/>
    </row>
    <row r="393">
      <c r="Q393" s="28"/>
      <c r="R393" s="28"/>
      <c r="S393" s="28"/>
    </row>
    <row r="394">
      <c r="Q394" s="28"/>
      <c r="R394" s="28"/>
      <c r="S394" s="28"/>
    </row>
    <row r="395">
      <c r="Q395" s="28"/>
      <c r="R395" s="28"/>
      <c r="S395" s="28"/>
    </row>
    <row r="396">
      <c r="Q396" s="28"/>
      <c r="R396" s="28"/>
      <c r="S396" s="28"/>
    </row>
    <row r="397">
      <c r="Q397" s="28"/>
      <c r="R397" s="28"/>
      <c r="S397" s="28"/>
    </row>
    <row r="398">
      <c r="Q398" s="28"/>
      <c r="R398" s="28"/>
      <c r="S398" s="28"/>
    </row>
    <row r="399">
      <c r="Q399" s="28"/>
      <c r="R399" s="28"/>
      <c r="S399" s="28"/>
    </row>
    <row r="400">
      <c r="Q400" s="28"/>
      <c r="R400" s="28"/>
      <c r="S400" s="28"/>
    </row>
    <row r="401">
      <c r="Q401" s="28"/>
      <c r="R401" s="28"/>
      <c r="S401" s="28"/>
    </row>
    <row r="402">
      <c r="Q402" s="28"/>
      <c r="R402" s="28"/>
      <c r="S402" s="28"/>
    </row>
    <row r="403">
      <c r="Q403" s="28"/>
      <c r="R403" s="28"/>
      <c r="S403" s="28"/>
    </row>
    <row r="404">
      <c r="Q404" s="28"/>
      <c r="R404" s="28"/>
      <c r="S404" s="28"/>
    </row>
    <row r="405">
      <c r="Q405" s="28"/>
      <c r="R405" s="28"/>
      <c r="S405" s="28"/>
    </row>
    <row r="406">
      <c r="Q406" s="28"/>
      <c r="R406" s="28"/>
      <c r="S406" s="28"/>
    </row>
    <row r="407">
      <c r="Q407" s="28"/>
      <c r="R407" s="28"/>
      <c r="S407" s="28"/>
    </row>
    <row r="408">
      <c r="Q408" s="28"/>
      <c r="R408" s="28"/>
      <c r="S408" s="28"/>
    </row>
    <row r="409">
      <c r="Q409" s="28"/>
      <c r="R409" s="28"/>
      <c r="S409" s="28"/>
    </row>
    <row r="410">
      <c r="Q410" s="28"/>
      <c r="R410" s="28"/>
      <c r="S410" s="28"/>
    </row>
    <row r="411">
      <c r="Q411" s="28"/>
      <c r="R411" s="28"/>
      <c r="S411" s="28"/>
    </row>
    <row r="412">
      <c r="Q412" s="28"/>
      <c r="R412" s="28"/>
      <c r="S412" s="28"/>
    </row>
    <row r="413">
      <c r="Q413" s="28"/>
      <c r="R413" s="28"/>
      <c r="S413" s="28"/>
    </row>
    <row r="414">
      <c r="Q414" s="28"/>
      <c r="R414" s="28"/>
      <c r="S414" s="28"/>
    </row>
    <row r="415">
      <c r="Q415" s="28"/>
      <c r="R415" s="28"/>
      <c r="S415" s="28"/>
    </row>
    <row r="416">
      <c r="Q416" s="28"/>
      <c r="R416" s="28"/>
      <c r="S416" s="28"/>
    </row>
    <row r="417">
      <c r="Q417" s="28"/>
      <c r="R417" s="28"/>
      <c r="S417" s="28"/>
    </row>
    <row r="418">
      <c r="Q418" s="28"/>
      <c r="R418" s="28"/>
      <c r="S418" s="28"/>
    </row>
    <row r="419">
      <c r="Q419" s="28"/>
      <c r="R419" s="28"/>
      <c r="S419" s="28"/>
    </row>
    <row r="420">
      <c r="Q420" s="28"/>
      <c r="R420" s="28"/>
      <c r="S420" s="28"/>
    </row>
    <row r="421">
      <c r="Q421" s="28"/>
      <c r="R421" s="28"/>
      <c r="S421" s="28"/>
    </row>
    <row r="422">
      <c r="Q422" s="28"/>
      <c r="R422" s="28"/>
      <c r="S422" s="28"/>
    </row>
    <row r="423">
      <c r="Q423" s="28"/>
      <c r="R423" s="28"/>
      <c r="S423" s="28"/>
    </row>
    <row r="424">
      <c r="Q424" s="28"/>
      <c r="R424" s="28"/>
      <c r="S424" s="28"/>
    </row>
    <row r="425">
      <c r="Q425" s="28"/>
      <c r="R425" s="28"/>
      <c r="S425" s="28"/>
    </row>
    <row r="426">
      <c r="Q426" s="28"/>
      <c r="R426" s="28"/>
      <c r="S426" s="28"/>
    </row>
    <row r="427">
      <c r="Q427" s="28"/>
      <c r="R427" s="28"/>
      <c r="S427" s="28"/>
    </row>
    <row r="428">
      <c r="Q428" s="28"/>
      <c r="R428" s="28"/>
      <c r="S428" s="28"/>
    </row>
    <row r="429">
      <c r="Q429" s="28"/>
      <c r="R429" s="28"/>
      <c r="S429" s="28"/>
    </row>
    <row r="430">
      <c r="Q430" s="28"/>
      <c r="R430" s="28"/>
      <c r="S430" s="28"/>
    </row>
    <row r="431">
      <c r="Q431" s="28"/>
      <c r="R431" s="28"/>
      <c r="S431" s="28"/>
    </row>
    <row r="432">
      <c r="Q432" s="28"/>
      <c r="R432" s="28"/>
      <c r="S432" s="28"/>
    </row>
    <row r="433">
      <c r="Q433" s="28"/>
      <c r="R433" s="28"/>
      <c r="S433" s="28"/>
    </row>
    <row r="434">
      <c r="Q434" s="28"/>
      <c r="R434" s="28"/>
      <c r="S434" s="28"/>
    </row>
    <row r="435">
      <c r="Q435" s="28"/>
      <c r="R435" s="28"/>
      <c r="S435" s="28"/>
    </row>
    <row r="436">
      <c r="Q436" s="28"/>
      <c r="R436" s="28"/>
      <c r="S436" s="28"/>
    </row>
    <row r="437">
      <c r="Q437" s="28"/>
      <c r="R437" s="28"/>
      <c r="S437" s="28"/>
    </row>
    <row r="438">
      <c r="Q438" s="28"/>
      <c r="R438" s="28"/>
      <c r="S438" s="28"/>
    </row>
    <row r="439">
      <c r="Q439" s="28"/>
      <c r="R439" s="28"/>
      <c r="S439" s="28"/>
    </row>
    <row r="440">
      <c r="Q440" s="28"/>
      <c r="R440" s="28"/>
      <c r="S440" s="28"/>
    </row>
    <row r="441">
      <c r="Q441" s="28"/>
      <c r="R441" s="28"/>
      <c r="S441" s="28"/>
    </row>
    <row r="442">
      <c r="Q442" s="28"/>
      <c r="R442" s="28"/>
      <c r="S442" s="28"/>
    </row>
    <row r="443">
      <c r="Q443" s="28"/>
      <c r="R443" s="28"/>
      <c r="S443" s="28"/>
    </row>
    <row r="444">
      <c r="Q444" s="28"/>
      <c r="R444" s="28"/>
      <c r="S444" s="28"/>
    </row>
    <row r="445">
      <c r="Q445" s="28"/>
      <c r="R445" s="28"/>
      <c r="S445" s="28"/>
    </row>
    <row r="446">
      <c r="Q446" s="28"/>
      <c r="R446" s="28"/>
      <c r="S446" s="28"/>
    </row>
    <row r="447">
      <c r="Q447" s="28"/>
      <c r="R447" s="28"/>
      <c r="S447" s="28"/>
    </row>
    <row r="448">
      <c r="Q448" s="28"/>
      <c r="R448" s="28"/>
      <c r="S448" s="28"/>
    </row>
    <row r="449">
      <c r="Q449" s="28"/>
      <c r="R449" s="28"/>
      <c r="S449" s="28"/>
    </row>
    <row r="450">
      <c r="Q450" s="28"/>
      <c r="R450" s="28"/>
      <c r="S450" s="28"/>
    </row>
    <row r="451">
      <c r="Q451" s="28"/>
      <c r="R451" s="28"/>
      <c r="S451" s="28"/>
    </row>
    <row r="452">
      <c r="Q452" s="28"/>
      <c r="R452" s="28"/>
      <c r="S452" s="28"/>
    </row>
    <row r="453">
      <c r="Q453" s="28"/>
      <c r="R453" s="28"/>
      <c r="S453" s="28"/>
    </row>
    <row r="454">
      <c r="Q454" s="28"/>
      <c r="R454" s="28"/>
      <c r="S454" s="28"/>
    </row>
    <row r="455">
      <c r="Q455" s="28"/>
      <c r="R455" s="28"/>
      <c r="S455" s="28"/>
    </row>
    <row r="456">
      <c r="Q456" s="28"/>
      <c r="R456" s="28"/>
      <c r="S456" s="28"/>
    </row>
    <row r="457">
      <c r="Q457" s="28"/>
      <c r="R457" s="28"/>
      <c r="S457" s="28"/>
    </row>
    <row r="458">
      <c r="Q458" s="28"/>
      <c r="R458" s="28"/>
      <c r="S458" s="28"/>
    </row>
    <row r="459">
      <c r="Q459" s="28"/>
      <c r="R459" s="28"/>
      <c r="S459" s="28"/>
    </row>
    <row r="460">
      <c r="Q460" s="28"/>
      <c r="R460" s="28"/>
      <c r="S460" s="28"/>
    </row>
    <row r="461">
      <c r="Q461" s="28"/>
      <c r="R461" s="28"/>
      <c r="S461" s="28"/>
    </row>
    <row r="462">
      <c r="Q462" s="28"/>
      <c r="R462" s="28"/>
      <c r="S462" s="28"/>
    </row>
    <row r="463">
      <c r="Q463" s="28"/>
      <c r="R463" s="28"/>
      <c r="S463" s="28"/>
    </row>
    <row r="464">
      <c r="Q464" s="28"/>
      <c r="R464" s="28"/>
      <c r="S464" s="28"/>
    </row>
    <row r="465">
      <c r="Q465" s="28"/>
      <c r="R465" s="28"/>
      <c r="S465" s="28"/>
    </row>
    <row r="466">
      <c r="Q466" s="28"/>
      <c r="R466" s="28"/>
      <c r="S466" s="28"/>
    </row>
    <row r="467">
      <c r="Q467" s="28"/>
      <c r="R467" s="28"/>
      <c r="S467" s="28"/>
    </row>
    <row r="468">
      <c r="Q468" s="28"/>
      <c r="R468" s="28"/>
      <c r="S468" s="28"/>
    </row>
    <row r="469">
      <c r="Q469" s="28"/>
      <c r="R469" s="28"/>
      <c r="S469" s="28"/>
    </row>
    <row r="470">
      <c r="Q470" s="28"/>
      <c r="R470" s="28"/>
      <c r="S470" s="28"/>
    </row>
    <row r="471">
      <c r="Q471" s="28"/>
      <c r="R471" s="28"/>
      <c r="S471" s="28"/>
    </row>
    <row r="472">
      <c r="Q472" s="28"/>
      <c r="R472" s="28"/>
      <c r="S472" s="28"/>
    </row>
    <row r="473">
      <c r="Q473" s="28"/>
      <c r="R473" s="28"/>
      <c r="S473" s="28"/>
    </row>
    <row r="474">
      <c r="Q474" s="28"/>
      <c r="R474" s="28"/>
      <c r="S474" s="28"/>
    </row>
    <row r="475">
      <c r="Q475" s="28"/>
      <c r="R475" s="28"/>
      <c r="S475" s="28"/>
    </row>
    <row r="476">
      <c r="Q476" s="28"/>
      <c r="R476" s="28"/>
      <c r="S476" s="28"/>
    </row>
    <row r="477">
      <c r="Q477" s="28"/>
      <c r="R477" s="28"/>
      <c r="S477" s="28"/>
    </row>
    <row r="478">
      <c r="Q478" s="28"/>
      <c r="R478" s="28"/>
      <c r="S478" s="28"/>
    </row>
    <row r="479">
      <c r="Q479" s="28"/>
      <c r="R479" s="28"/>
      <c r="S479" s="28"/>
    </row>
    <row r="480">
      <c r="Q480" s="28"/>
      <c r="R480" s="28"/>
      <c r="S480" s="28"/>
    </row>
    <row r="481">
      <c r="Q481" s="28"/>
      <c r="R481" s="28"/>
      <c r="S481" s="28"/>
    </row>
    <row r="482">
      <c r="Q482" s="28"/>
      <c r="R482" s="28"/>
      <c r="S482" s="28"/>
    </row>
    <row r="483">
      <c r="Q483" s="28"/>
      <c r="R483" s="28"/>
      <c r="S483" s="28"/>
    </row>
    <row r="484">
      <c r="Q484" s="28"/>
      <c r="R484" s="28"/>
      <c r="S484" s="28"/>
    </row>
    <row r="485">
      <c r="Q485" s="28"/>
      <c r="R485" s="28"/>
      <c r="S485" s="28"/>
    </row>
    <row r="486">
      <c r="Q486" s="28"/>
      <c r="R486" s="28"/>
      <c r="S486" s="28"/>
    </row>
    <row r="487">
      <c r="Q487" s="28"/>
      <c r="R487" s="28"/>
      <c r="S487" s="28"/>
    </row>
    <row r="488">
      <c r="Q488" s="28"/>
      <c r="R488" s="28"/>
      <c r="S488" s="28"/>
    </row>
    <row r="489">
      <c r="Q489" s="28"/>
      <c r="R489" s="28"/>
      <c r="S489" s="28"/>
    </row>
    <row r="490">
      <c r="Q490" s="28"/>
      <c r="R490" s="28"/>
      <c r="S490" s="28"/>
    </row>
    <row r="491">
      <c r="Q491" s="28"/>
      <c r="R491" s="28"/>
      <c r="S491" s="28"/>
    </row>
    <row r="492">
      <c r="Q492" s="28"/>
      <c r="R492" s="28"/>
      <c r="S492" s="28"/>
    </row>
    <row r="493">
      <c r="Q493" s="28"/>
      <c r="R493" s="28"/>
      <c r="S493" s="28"/>
    </row>
    <row r="494">
      <c r="Q494" s="28"/>
      <c r="R494" s="28"/>
      <c r="S494" s="28"/>
    </row>
    <row r="495">
      <c r="Q495" s="28"/>
      <c r="R495" s="28"/>
      <c r="S495" s="28"/>
    </row>
    <row r="496">
      <c r="Q496" s="28"/>
      <c r="R496" s="28"/>
      <c r="S496" s="28"/>
    </row>
    <row r="497">
      <c r="Q497" s="28"/>
      <c r="R497" s="28"/>
      <c r="S497" s="28"/>
    </row>
    <row r="498">
      <c r="Q498" s="28"/>
      <c r="R498" s="28"/>
      <c r="S498" s="28"/>
    </row>
    <row r="499">
      <c r="Q499" s="28"/>
      <c r="R499" s="28"/>
      <c r="S499" s="28"/>
    </row>
    <row r="500">
      <c r="Q500" s="28"/>
      <c r="R500" s="28"/>
      <c r="S500" s="28"/>
    </row>
    <row r="501">
      <c r="Q501" s="28"/>
      <c r="R501" s="28"/>
      <c r="S501" s="28"/>
    </row>
    <row r="502">
      <c r="Q502" s="28"/>
      <c r="R502" s="28"/>
      <c r="S502" s="28"/>
    </row>
    <row r="503">
      <c r="Q503" s="28"/>
      <c r="R503" s="28"/>
      <c r="S503" s="28"/>
    </row>
    <row r="504">
      <c r="Q504" s="28"/>
      <c r="R504" s="28"/>
      <c r="S504" s="28"/>
    </row>
    <row r="505">
      <c r="Q505" s="28"/>
      <c r="R505" s="28"/>
      <c r="S505" s="28"/>
    </row>
    <row r="506">
      <c r="Q506" s="28"/>
      <c r="R506" s="28"/>
      <c r="S506" s="28"/>
    </row>
    <row r="507">
      <c r="Q507" s="28"/>
      <c r="R507" s="28"/>
      <c r="S507" s="28"/>
    </row>
    <row r="508">
      <c r="Q508" s="28"/>
      <c r="R508" s="28"/>
      <c r="S508" s="28"/>
    </row>
    <row r="509">
      <c r="Q509" s="28"/>
      <c r="R509" s="28"/>
      <c r="S509" s="28"/>
    </row>
    <row r="510">
      <c r="Q510" s="28"/>
      <c r="R510" s="28"/>
      <c r="S510" s="28"/>
    </row>
    <row r="511">
      <c r="Q511" s="28"/>
      <c r="R511" s="28"/>
      <c r="S511" s="28"/>
    </row>
    <row r="512">
      <c r="Q512" s="28"/>
      <c r="R512" s="28"/>
      <c r="S512" s="28"/>
    </row>
    <row r="513">
      <c r="Q513" s="28"/>
      <c r="R513" s="28"/>
      <c r="S513" s="28"/>
    </row>
    <row r="514">
      <c r="Q514" s="28"/>
      <c r="R514" s="28"/>
      <c r="S514" s="28"/>
    </row>
    <row r="515">
      <c r="Q515" s="28"/>
      <c r="R515" s="28"/>
      <c r="S515" s="28"/>
    </row>
    <row r="516">
      <c r="Q516" s="28"/>
      <c r="R516" s="28"/>
      <c r="S516" s="28"/>
    </row>
    <row r="517">
      <c r="Q517" s="28"/>
      <c r="R517" s="28"/>
      <c r="S517" s="28"/>
    </row>
    <row r="518">
      <c r="Q518" s="28"/>
      <c r="R518" s="28"/>
      <c r="S518" s="28"/>
    </row>
    <row r="519">
      <c r="Q519" s="28"/>
      <c r="R519" s="28"/>
      <c r="S519" s="28"/>
    </row>
    <row r="520">
      <c r="Q520" s="28"/>
      <c r="R520" s="28"/>
      <c r="S520" s="28"/>
    </row>
    <row r="521">
      <c r="Q521" s="28"/>
      <c r="R521" s="28"/>
      <c r="S521" s="28"/>
    </row>
    <row r="522">
      <c r="Q522" s="28"/>
      <c r="R522" s="28"/>
      <c r="S522" s="28"/>
    </row>
    <row r="523">
      <c r="Q523" s="28"/>
      <c r="R523" s="28"/>
      <c r="S523" s="28"/>
    </row>
    <row r="524">
      <c r="Q524" s="28"/>
      <c r="R524" s="28"/>
      <c r="S524" s="28"/>
    </row>
    <row r="525">
      <c r="Q525" s="28"/>
      <c r="R525" s="28"/>
      <c r="S525" s="28"/>
    </row>
    <row r="526">
      <c r="Q526" s="28"/>
      <c r="R526" s="28"/>
      <c r="S526" s="28"/>
    </row>
    <row r="527">
      <c r="Q527" s="28"/>
      <c r="R527" s="28"/>
      <c r="S527" s="28"/>
    </row>
    <row r="528">
      <c r="Q528" s="28"/>
      <c r="R528" s="28"/>
      <c r="S528" s="28"/>
    </row>
    <row r="529">
      <c r="Q529" s="28"/>
      <c r="R529" s="28"/>
      <c r="S529" s="28"/>
    </row>
    <row r="530">
      <c r="Q530" s="28"/>
      <c r="R530" s="28"/>
      <c r="S530" s="28"/>
    </row>
    <row r="531">
      <c r="Q531" s="28"/>
      <c r="R531" s="28"/>
      <c r="S531" s="28"/>
    </row>
    <row r="532">
      <c r="Q532" s="28"/>
      <c r="R532" s="28"/>
      <c r="S532" s="28"/>
    </row>
    <row r="533">
      <c r="Q533" s="28"/>
      <c r="R533" s="28"/>
      <c r="S533" s="28"/>
    </row>
    <row r="534">
      <c r="Q534" s="28"/>
      <c r="R534" s="28"/>
      <c r="S534" s="28"/>
    </row>
    <row r="535">
      <c r="Q535" s="28"/>
      <c r="R535" s="28"/>
      <c r="S535" s="28"/>
    </row>
    <row r="536">
      <c r="Q536" s="28"/>
      <c r="R536" s="28"/>
      <c r="S536" s="28"/>
    </row>
    <row r="537">
      <c r="Q537" s="28"/>
      <c r="R537" s="28"/>
      <c r="S537" s="28"/>
    </row>
    <row r="538">
      <c r="Q538" s="28"/>
      <c r="R538" s="28"/>
      <c r="S538" s="28"/>
    </row>
    <row r="539">
      <c r="Q539" s="28"/>
      <c r="R539" s="28"/>
      <c r="S539" s="28"/>
    </row>
    <row r="540">
      <c r="Q540" s="28"/>
      <c r="R540" s="28"/>
      <c r="S540" s="28"/>
    </row>
    <row r="541">
      <c r="Q541" s="28"/>
      <c r="R541" s="28"/>
      <c r="S541" s="28"/>
    </row>
    <row r="542">
      <c r="Q542" s="28"/>
      <c r="R542" s="28"/>
      <c r="S542" s="28"/>
    </row>
    <row r="543">
      <c r="Q543" s="28"/>
      <c r="R543" s="28"/>
      <c r="S543" s="28"/>
    </row>
    <row r="544">
      <c r="Q544" s="28"/>
      <c r="R544" s="28"/>
      <c r="S544" s="28"/>
    </row>
    <row r="545">
      <c r="Q545" s="28"/>
      <c r="R545" s="28"/>
      <c r="S545" s="28"/>
    </row>
    <row r="546">
      <c r="Q546" s="28"/>
      <c r="R546" s="28"/>
      <c r="S546" s="28"/>
    </row>
    <row r="547">
      <c r="Q547" s="28"/>
      <c r="R547" s="28"/>
      <c r="S547" s="28"/>
    </row>
    <row r="548">
      <c r="Q548" s="28"/>
      <c r="R548" s="28"/>
      <c r="S548" s="28"/>
    </row>
    <row r="549">
      <c r="Q549" s="28"/>
      <c r="R549" s="28"/>
      <c r="S549" s="28"/>
    </row>
    <row r="550">
      <c r="Q550" s="28"/>
      <c r="R550" s="28"/>
      <c r="S550" s="28"/>
    </row>
    <row r="551">
      <c r="Q551" s="28"/>
      <c r="R551" s="28"/>
      <c r="S551" s="28"/>
    </row>
    <row r="552">
      <c r="Q552" s="28"/>
      <c r="R552" s="28"/>
      <c r="S552" s="28"/>
    </row>
    <row r="553">
      <c r="Q553" s="28"/>
      <c r="R553" s="28"/>
      <c r="S553" s="28"/>
    </row>
    <row r="554">
      <c r="Q554" s="28"/>
      <c r="R554" s="28"/>
      <c r="S554" s="28"/>
    </row>
    <row r="555">
      <c r="Q555" s="28"/>
      <c r="R555" s="28"/>
      <c r="S555" s="28"/>
    </row>
    <row r="556">
      <c r="Q556" s="28"/>
      <c r="R556" s="28"/>
      <c r="S556" s="28"/>
    </row>
    <row r="557">
      <c r="Q557" s="28"/>
      <c r="R557" s="28"/>
      <c r="S557" s="28"/>
    </row>
    <row r="558">
      <c r="Q558" s="28"/>
      <c r="R558" s="28"/>
      <c r="S558" s="28"/>
    </row>
    <row r="559">
      <c r="Q559" s="28"/>
      <c r="R559" s="28"/>
      <c r="S559" s="28"/>
    </row>
    <row r="560">
      <c r="Q560" s="28"/>
      <c r="R560" s="28"/>
      <c r="S560" s="28"/>
    </row>
    <row r="561">
      <c r="Q561" s="28"/>
      <c r="R561" s="28"/>
      <c r="S561" s="28"/>
    </row>
    <row r="562">
      <c r="Q562" s="28"/>
      <c r="R562" s="28"/>
      <c r="S562" s="28"/>
    </row>
    <row r="563">
      <c r="Q563" s="28"/>
      <c r="R563" s="28"/>
      <c r="S563" s="28"/>
    </row>
    <row r="564">
      <c r="Q564" s="28"/>
      <c r="R564" s="28"/>
      <c r="S564" s="28"/>
    </row>
    <row r="565">
      <c r="Q565" s="28"/>
      <c r="R565" s="28"/>
      <c r="S565" s="28"/>
    </row>
    <row r="566">
      <c r="Q566" s="28"/>
      <c r="R566" s="28"/>
      <c r="S566" s="28"/>
    </row>
    <row r="567">
      <c r="Q567" s="28"/>
      <c r="R567" s="28"/>
      <c r="S567" s="28"/>
    </row>
    <row r="568">
      <c r="Q568" s="28"/>
      <c r="R568" s="28"/>
      <c r="S568" s="28"/>
    </row>
    <row r="569">
      <c r="Q569" s="28"/>
      <c r="R569" s="28"/>
      <c r="S569" s="28"/>
    </row>
    <row r="570">
      <c r="Q570" s="28"/>
      <c r="R570" s="28"/>
      <c r="S570" s="28"/>
    </row>
    <row r="571">
      <c r="Q571" s="28"/>
      <c r="R571" s="28"/>
      <c r="S571" s="28"/>
    </row>
    <row r="572">
      <c r="Q572" s="28"/>
      <c r="R572" s="28"/>
      <c r="S572" s="28"/>
    </row>
    <row r="573">
      <c r="Q573" s="28"/>
      <c r="R573" s="28"/>
      <c r="S573" s="28"/>
    </row>
    <row r="574">
      <c r="Q574" s="28"/>
      <c r="R574" s="28"/>
      <c r="S574" s="28"/>
    </row>
    <row r="575">
      <c r="Q575" s="28"/>
      <c r="R575" s="28"/>
      <c r="S575" s="28"/>
    </row>
    <row r="576">
      <c r="Q576" s="28"/>
      <c r="R576" s="28"/>
      <c r="S576" s="28"/>
    </row>
    <row r="577">
      <c r="Q577" s="28"/>
      <c r="R577" s="28"/>
      <c r="S577" s="28"/>
    </row>
    <row r="578">
      <c r="Q578" s="28"/>
      <c r="R578" s="28"/>
      <c r="S578" s="28"/>
    </row>
    <row r="579">
      <c r="Q579" s="28"/>
      <c r="R579" s="28"/>
      <c r="S579" s="28"/>
    </row>
    <row r="580">
      <c r="Q580" s="28"/>
      <c r="R580" s="28"/>
      <c r="S580" s="28"/>
    </row>
    <row r="581">
      <c r="Q581" s="28"/>
      <c r="R581" s="28"/>
      <c r="S581" s="28"/>
    </row>
    <row r="582">
      <c r="Q582" s="28"/>
      <c r="R582" s="28"/>
      <c r="S582" s="28"/>
    </row>
    <row r="583">
      <c r="Q583" s="28"/>
      <c r="R583" s="28"/>
      <c r="S583" s="28"/>
    </row>
    <row r="584">
      <c r="Q584" s="28"/>
      <c r="R584" s="28"/>
      <c r="S584" s="28"/>
    </row>
    <row r="585">
      <c r="Q585" s="28"/>
      <c r="R585" s="28"/>
      <c r="S585" s="28"/>
    </row>
    <row r="586">
      <c r="Q586" s="28"/>
      <c r="R586" s="28"/>
      <c r="S586" s="28"/>
    </row>
    <row r="587">
      <c r="Q587" s="28"/>
      <c r="R587" s="28"/>
      <c r="S587" s="28"/>
    </row>
    <row r="588">
      <c r="Q588" s="28"/>
      <c r="R588" s="28"/>
      <c r="S588" s="28"/>
    </row>
    <row r="589">
      <c r="Q589" s="28"/>
      <c r="R589" s="28"/>
      <c r="S589" s="28"/>
    </row>
    <row r="590">
      <c r="Q590" s="28"/>
      <c r="R590" s="28"/>
      <c r="S590" s="28"/>
    </row>
    <row r="591">
      <c r="Q591" s="28"/>
      <c r="R591" s="28"/>
      <c r="S591" s="28"/>
    </row>
    <row r="592">
      <c r="Q592" s="28"/>
      <c r="R592" s="28"/>
      <c r="S592" s="28"/>
    </row>
    <row r="593">
      <c r="Q593" s="28"/>
      <c r="R593" s="28"/>
      <c r="S593" s="28"/>
    </row>
    <row r="594">
      <c r="Q594" s="28"/>
      <c r="R594" s="28"/>
      <c r="S594" s="28"/>
    </row>
    <row r="595">
      <c r="Q595" s="28"/>
      <c r="R595" s="28"/>
      <c r="S595" s="28"/>
    </row>
    <row r="596">
      <c r="Q596" s="28"/>
      <c r="R596" s="28"/>
      <c r="S596" s="28"/>
    </row>
    <row r="597">
      <c r="Q597" s="28"/>
      <c r="R597" s="28"/>
      <c r="S597" s="28"/>
    </row>
    <row r="598">
      <c r="Q598" s="28"/>
      <c r="R598" s="28"/>
      <c r="S598" s="28"/>
    </row>
    <row r="599">
      <c r="Q599" s="28"/>
      <c r="R599" s="28"/>
      <c r="S599" s="28"/>
    </row>
    <row r="600">
      <c r="Q600" s="28"/>
      <c r="R600" s="28"/>
      <c r="S600" s="28"/>
    </row>
    <row r="601">
      <c r="Q601" s="28"/>
      <c r="R601" s="28"/>
      <c r="S601" s="28"/>
    </row>
    <row r="602">
      <c r="Q602" s="28"/>
      <c r="R602" s="28"/>
      <c r="S602" s="28"/>
    </row>
    <row r="603">
      <c r="Q603" s="28"/>
      <c r="R603" s="28"/>
      <c r="S603" s="28"/>
    </row>
    <row r="604">
      <c r="Q604" s="28"/>
      <c r="R604" s="28"/>
      <c r="S604" s="28"/>
    </row>
    <row r="605">
      <c r="Q605" s="28"/>
      <c r="R605" s="28"/>
      <c r="S605" s="28"/>
    </row>
    <row r="606">
      <c r="Q606" s="28"/>
      <c r="R606" s="28"/>
      <c r="S606" s="28"/>
    </row>
    <row r="607">
      <c r="Q607" s="28"/>
      <c r="R607" s="28"/>
      <c r="S607" s="28"/>
    </row>
    <row r="608">
      <c r="Q608" s="28"/>
      <c r="R608" s="28"/>
      <c r="S608" s="28"/>
    </row>
    <row r="609">
      <c r="Q609" s="28"/>
      <c r="R609" s="28"/>
      <c r="S609" s="28"/>
    </row>
    <row r="610">
      <c r="Q610" s="28"/>
      <c r="R610" s="28"/>
      <c r="S610" s="28"/>
    </row>
    <row r="611">
      <c r="Q611" s="28"/>
      <c r="R611" s="28"/>
      <c r="S611" s="28"/>
    </row>
    <row r="612">
      <c r="Q612" s="28"/>
      <c r="R612" s="28"/>
      <c r="S612" s="28"/>
    </row>
    <row r="613">
      <c r="Q613" s="28"/>
      <c r="R613" s="28"/>
      <c r="S613" s="28"/>
    </row>
    <row r="614">
      <c r="Q614" s="28"/>
      <c r="R614" s="28"/>
      <c r="S614" s="28"/>
    </row>
    <row r="615">
      <c r="Q615" s="28"/>
      <c r="R615" s="28"/>
      <c r="S615" s="28"/>
    </row>
    <row r="616">
      <c r="Q616" s="28"/>
      <c r="R616" s="28"/>
      <c r="S616" s="28"/>
    </row>
    <row r="617">
      <c r="Q617" s="28"/>
      <c r="R617" s="28"/>
      <c r="S617" s="28"/>
    </row>
    <row r="618">
      <c r="Q618" s="28"/>
      <c r="R618" s="28"/>
      <c r="S618" s="28"/>
    </row>
    <row r="619">
      <c r="Q619" s="28"/>
      <c r="R619" s="28"/>
      <c r="S619" s="28"/>
    </row>
    <row r="620">
      <c r="Q620" s="28"/>
      <c r="R620" s="28"/>
      <c r="S620" s="28"/>
    </row>
    <row r="621">
      <c r="Q621" s="28"/>
      <c r="R621" s="28"/>
      <c r="S621" s="28"/>
    </row>
    <row r="622">
      <c r="Q622" s="28"/>
      <c r="R622" s="28"/>
      <c r="S622" s="28"/>
    </row>
    <row r="623">
      <c r="Q623" s="28"/>
      <c r="R623" s="28"/>
      <c r="S623" s="28"/>
    </row>
    <row r="624">
      <c r="Q624" s="28"/>
      <c r="R624" s="28"/>
      <c r="S624" s="28"/>
    </row>
    <row r="625">
      <c r="Q625" s="28"/>
      <c r="R625" s="28"/>
      <c r="S625" s="28"/>
    </row>
    <row r="626">
      <c r="Q626" s="28"/>
      <c r="R626" s="28"/>
      <c r="S626" s="28"/>
    </row>
    <row r="627">
      <c r="Q627" s="28"/>
      <c r="R627" s="28"/>
      <c r="S627" s="28"/>
    </row>
    <row r="628">
      <c r="Q628" s="28"/>
      <c r="R628" s="28"/>
      <c r="S628" s="28"/>
    </row>
    <row r="629">
      <c r="Q629" s="28"/>
      <c r="R629" s="28"/>
      <c r="S629" s="28"/>
    </row>
    <row r="630">
      <c r="Q630" s="28"/>
      <c r="R630" s="28"/>
      <c r="S630" s="28"/>
    </row>
    <row r="631">
      <c r="Q631" s="28"/>
      <c r="R631" s="28"/>
      <c r="S631" s="28"/>
    </row>
    <row r="632">
      <c r="Q632" s="28"/>
      <c r="R632" s="28"/>
      <c r="S632" s="28"/>
    </row>
    <row r="633">
      <c r="Q633" s="28"/>
      <c r="R633" s="28"/>
      <c r="S633" s="28"/>
    </row>
    <row r="634">
      <c r="Q634" s="28"/>
      <c r="R634" s="28"/>
      <c r="S634" s="28"/>
    </row>
    <row r="635">
      <c r="Q635" s="28"/>
      <c r="R635" s="28"/>
      <c r="S635" s="28"/>
    </row>
    <row r="636">
      <c r="Q636" s="28"/>
      <c r="R636" s="28"/>
      <c r="S636" s="28"/>
    </row>
    <row r="637">
      <c r="Q637" s="28"/>
      <c r="R637" s="28"/>
      <c r="S637" s="28"/>
    </row>
    <row r="638">
      <c r="Q638" s="28"/>
      <c r="R638" s="28"/>
      <c r="S638" s="28"/>
    </row>
    <row r="639">
      <c r="Q639" s="28"/>
      <c r="R639" s="28"/>
      <c r="S639" s="28"/>
    </row>
    <row r="640">
      <c r="Q640" s="28"/>
      <c r="R640" s="28"/>
      <c r="S640" s="28"/>
    </row>
    <row r="641">
      <c r="Q641" s="28"/>
      <c r="R641" s="28"/>
      <c r="S641" s="28"/>
    </row>
    <row r="642">
      <c r="Q642" s="28"/>
      <c r="R642" s="28"/>
      <c r="S642" s="28"/>
    </row>
    <row r="643">
      <c r="Q643" s="28"/>
      <c r="R643" s="28"/>
      <c r="S643" s="28"/>
    </row>
    <row r="644">
      <c r="Q644" s="28"/>
      <c r="R644" s="28"/>
      <c r="S644" s="28"/>
    </row>
    <row r="645">
      <c r="Q645" s="28"/>
      <c r="R645" s="28"/>
      <c r="S645" s="28"/>
    </row>
    <row r="646">
      <c r="Q646" s="28"/>
      <c r="R646" s="28"/>
      <c r="S646" s="28"/>
    </row>
    <row r="647">
      <c r="Q647" s="28"/>
      <c r="R647" s="28"/>
      <c r="S647" s="28"/>
    </row>
    <row r="648">
      <c r="Q648" s="28"/>
      <c r="R648" s="28"/>
      <c r="S648" s="28"/>
    </row>
    <row r="649">
      <c r="Q649" s="28"/>
      <c r="R649" s="28"/>
      <c r="S649" s="28"/>
    </row>
    <row r="650">
      <c r="Q650" s="28"/>
      <c r="R650" s="28"/>
      <c r="S650" s="28"/>
    </row>
    <row r="651">
      <c r="Q651" s="28"/>
      <c r="R651" s="28"/>
      <c r="S651" s="28"/>
    </row>
    <row r="652">
      <c r="Q652" s="28"/>
      <c r="R652" s="28"/>
      <c r="S652" s="28"/>
    </row>
    <row r="653">
      <c r="Q653" s="28"/>
      <c r="R653" s="28"/>
      <c r="S653" s="28"/>
    </row>
    <row r="654">
      <c r="Q654" s="28"/>
      <c r="R654" s="28"/>
      <c r="S654" s="28"/>
    </row>
    <row r="655">
      <c r="Q655" s="28"/>
      <c r="R655" s="28"/>
      <c r="S655" s="28"/>
    </row>
    <row r="656">
      <c r="Q656" s="28"/>
      <c r="R656" s="28"/>
      <c r="S656" s="28"/>
    </row>
    <row r="657">
      <c r="Q657" s="28"/>
      <c r="R657" s="28"/>
      <c r="S657" s="28"/>
    </row>
    <row r="658">
      <c r="Q658" s="28"/>
      <c r="R658" s="28"/>
      <c r="S658" s="28"/>
    </row>
    <row r="659">
      <c r="Q659" s="28"/>
      <c r="R659" s="28"/>
      <c r="S659" s="28"/>
    </row>
    <row r="660">
      <c r="Q660" s="28"/>
      <c r="R660" s="28"/>
      <c r="S660" s="28"/>
    </row>
    <row r="661">
      <c r="Q661" s="28"/>
      <c r="R661" s="28"/>
      <c r="S661" s="28"/>
    </row>
    <row r="662">
      <c r="Q662" s="28"/>
      <c r="R662" s="28"/>
      <c r="S662" s="28"/>
    </row>
    <row r="663">
      <c r="Q663" s="28"/>
      <c r="R663" s="28"/>
      <c r="S663" s="28"/>
    </row>
    <row r="664">
      <c r="Q664" s="28"/>
      <c r="R664" s="28"/>
      <c r="S664" s="28"/>
    </row>
    <row r="665">
      <c r="Q665" s="28"/>
      <c r="R665" s="28"/>
      <c r="S665" s="28"/>
    </row>
    <row r="666">
      <c r="Q666" s="28"/>
      <c r="R666" s="28"/>
      <c r="S666" s="28"/>
    </row>
    <row r="667">
      <c r="Q667" s="28"/>
      <c r="R667" s="28"/>
      <c r="S667" s="28"/>
    </row>
    <row r="668">
      <c r="Q668" s="28"/>
      <c r="R668" s="28"/>
      <c r="S668" s="28"/>
    </row>
    <row r="669">
      <c r="Q669" s="28"/>
      <c r="R669" s="28"/>
      <c r="S669" s="28"/>
    </row>
    <row r="670">
      <c r="Q670" s="28"/>
      <c r="R670" s="28"/>
      <c r="S670" s="28"/>
    </row>
    <row r="671">
      <c r="Q671" s="28"/>
      <c r="R671" s="28"/>
      <c r="S671" s="28"/>
    </row>
    <row r="672">
      <c r="Q672" s="28"/>
      <c r="R672" s="28"/>
      <c r="S672" s="28"/>
    </row>
    <row r="673">
      <c r="Q673" s="28"/>
      <c r="R673" s="28"/>
      <c r="S673" s="28"/>
    </row>
    <row r="674">
      <c r="Q674" s="28"/>
      <c r="R674" s="28"/>
      <c r="S674" s="28"/>
    </row>
    <row r="675">
      <c r="Q675" s="28"/>
      <c r="R675" s="28"/>
      <c r="S675" s="28"/>
    </row>
    <row r="676">
      <c r="Q676" s="28"/>
      <c r="R676" s="28"/>
      <c r="S676" s="28"/>
    </row>
    <row r="677">
      <c r="Q677" s="28"/>
      <c r="R677" s="28"/>
      <c r="S677" s="28"/>
    </row>
    <row r="678">
      <c r="Q678" s="28"/>
      <c r="R678" s="28"/>
      <c r="S678" s="28"/>
    </row>
    <row r="679">
      <c r="Q679" s="28"/>
      <c r="R679" s="28"/>
      <c r="S679" s="28"/>
    </row>
    <row r="680">
      <c r="Q680" s="28"/>
      <c r="R680" s="28"/>
      <c r="S680" s="28"/>
    </row>
    <row r="681">
      <c r="Q681" s="28"/>
      <c r="R681" s="28"/>
      <c r="S681" s="28"/>
    </row>
    <row r="682">
      <c r="Q682" s="28"/>
      <c r="R682" s="28"/>
      <c r="S682" s="28"/>
    </row>
    <row r="683">
      <c r="Q683" s="28"/>
      <c r="R683" s="28"/>
      <c r="S683" s="28"/>
    </row>
    <row r="684">
      <c r="Q684" s="28"/>
      <c r="R684" s="28"/>
      <c r="S684" s="28"/>
    </row>
    <row r="685">
      <c r="Q685" s="28"/>
      <c r="R685" s="28"/>
      <c r="S685" s="28"/>
    </row>
    <row r="686">
      <c r="Q686" s="28"/>
      <c r="R686" s="28"/>
      <c r="S686" s="28"/>
    </row>
    <row r="687">
      <c r="Q687" s="28"/>
      <c r="R687" s="28"/>
      <c r="S687" s="28"/>
    </row>
    <row r="688">
      <c r="Q688" s="28"/>
      <c r="R688" s="28"/>
      <c r="S688" s="28"/>
    </row>
    <row r="689">
      <c r="Q689" s="28"/>
      <c r="R689" s="28"/>
      <c r="S689" s="28"/>
    </row>
    <row r="690">
      <c r="Q690" s="28"/>
      <c r="R690" s="28"/>
      <c r="S690" s="28"/>
    </row>
    <row r="691">
      <c r="Q691" s="28"/>
      <c r="R691" s="28"/>
      <c r="S691" s="28"/>
    </row>
    <row r="692">
      <c r="Q692" s="28"/>
      <c r="R692" s="28"/>
      <c r="S692" s="28"/>
    </row>
    <row r="693">
      <c r="Q693" s="28"/>
      <c r="R693" s="28"/>
      <c r="S693" s="28"/>
    </row>
    <row r="694">
      <c r="Q694" s="28"/>
      <c r="R694" s="28"/>
      <c r="S694" s="28"/>
    </row>
    <row r="695">
      <c r="Q695" s="28"/>
      <c r="R695" s="28"/>
      <c r="S695" s="28"/>
    </row>
    <row r="696">
      <c r="Q696" s="28"/>
      <c r="R696" s="28"/>
      <c r="S696" s="28"/>
    </row>
    <row r="697">
      <c r="Q697" s="28"/>
      <c r="R697" s="28"/>
      <c r="S697" s="28"/>
    </row>
    <row r="698">
      <c r="Q698" s="28"/>
      <c r="R698" s="28"/>
      <c r="S698" s="28"/>
    </row>
    <row r="699">
      <c r="Q699" s="28"/>
      <c r="R699" s="28"/>
      <c r="S699" s="28"/>
    </row>
    <row r="700">
      <c r="Q700" s="28"/>
      <c r="R700" s="28"/>
      <c r="S700" s="28"/>
    </row>
    <row r="701">
      <c r="Q701" s="28"/>
      <c r="R701" s="28"/>
      <c r="S701" s="28"/>
    </row>
    <row r="702">
      <c r="Q702" s="28"/>
      <c r="R702" s="28"/>
      <c r="S702" s="28"/>
    </row>
    <row r="703">
      <c r="Q703" s="28"/>
      <c r="R703" s="28"/>
      <c r="S703" s="28"/>
    </row>
    <row r="704">
      <c r="Q704" s="28"/>
      <c r="R704" s="28"/>
      <c r="S704" s="28"/>
    </row>
    <row r="705">
      <c r="Q705" s="28"/>
      <c r="R705" s="28"/>
      <c r="S705" s="28"/>
    </row>
    <row r="706">
      <c r="Q706" s="28"/>
      <c r="R706" s="28"/>
      <c r="S706" s="28"/>
    </row>
    <row r="707">
      <c r="Q707" s="28"/>
      <c r="R707" s="28"/>
      <c r="S707" s="28"/>
    </row>
    <row r="708">
      <c r="Q708" s="28"/>
      <c r="R708" s="28"/>
      <c r="S708" s="28"/>
    </row>
    <row r="709">
      <c r="Q709" s="28"/>
      <c r="R709" s="28"/>
      <c r="S709" s="28"/>
    </row>
    <row r="710">
      <c r="Q710" s="28"/>
      <c r="R710" s="28"/>
      <c r="S710" s="28"/>
    </row>
    <row r="711">
      <c r="Q711" s="28"/>
      <c r="R711" s="28"/>
      <c r="S711" s="28"/>
    </row>
    <row r="712">
      <c r="Q712" s="28"/>
      <c r="R712" s="28"/>
      <c r="S712" s="28"/>
    </row>
    <row r="713">
      <c r="Q713" s="28"/>
      <c r="R713" s="28"/>
      <c r="S713" s="28"/>
    </row>
    <row r="714">
      <c r="Q714" s="28"/>
      <c r="R714" s="28"/>
      <c r="S714" s="28"/>
    </row>
    <row r="715">
      <c r="Q715" s="28"/>
      <c r="R715" s="28"/>
      <c r="S715" s="28"/>
    </row>
    <row r="716">
      <c r="Q716" s="28"/>
      <c r="R716" s="28"/>
      <c r="S716" s="28"/>
    </row>
    <row r="717">
      <c r="Q717" s="28"/>
      <c r="R717" s="28"/>
      <c r="S717" s="28"/>
    </row>
    <row r="718">
      <c r="Q718" s="28"/>
      <c r="R718" s="28"/>
      <c r="S718" s="28"/>
    </row>
    <row r="719">
      <c r="Q719" s="28"/>
      <c r="R719" s="28"/>
      <c r="S719" s="28"/>
    </row>
    <row r="720">
      <c r="Q720" s="28"/>
      <c r="R720" s="28"/>
      <c r="S720" s="28"/>
    </row>
    <row r="721">
      <c r="Q721" s="28"/>
      <c r="R721" s="28"/>
      <c r="S721" s="28"/>
    </row>
    <row r="722">
      <c r="Q722" s="28"/>
      <c r="R722" s="28"/>
      <c r="S722" s="28"/>
    </row>
    <row r="723">
      <c r="Q723" s="28"/>
      <c r="R723" s="28"/>
      <c r="S723" s="28"/>
    </row>
    <row r="724">
      <c r="Q724" s="28"/>
      <c r="R724" s="28"/>
      <c r="S724" s="28"/>
    </row>
    <row r="725">
      <c r="Q725" s="28"/>
      <c r="R725" s="28"/>
      <c r="S725" s="28"/>
    </row>
    <row r="726">
      <c r="Q726" s="28"/>
      <c r="R726" s="28"/>
      <c r="S726" s="28"/>
    </row>
    <row r="727">
      <c r="Q727" s="28"/>
      <c r="R727" s="28"/>
      <c r="S727" s="28"/>
    </row>
    <row r="728">
      <c r="Q728" s="28"/>
      <c r="R728" s="28"/>
      <c r="S728" s="28"/>
    </row>
    <row r="729">
      <c r="Q729" s="28"/>
      <c r="R729" s="28"/>
      <c r="S729" s="28"/>
    </row>
    <row r="730">
      <c r="Q730" s="28"/>
      <c r="R730" s="28"/>
      <c r="S730" s="28"/>
    </row>
    <row r="731">
      <c r="Q731" s="28"/>
      <c r="R731" s="28"/>
      <c r="S731" s="28"/>
    </row>
    <row r="732">
      <c r="Q732" s="28"/>
      <c r="R732" s="28"/>
      <c r="S732" s="28"/>
    </row>
    <row r="733">
      <c r="Q733" s="28"/>
      <c r="R733" s="28"/>
      <c r="S733" s="28"/>
    </row>
    <row r="734">
      <c r="Q734" s="28"/>
      <c r="R734" s="28"/>
      <c r="S734" s="28"/>
    </row>
    <row r="735">
      <c r="Q735" s="28"/>
      <c r="R735" s="28"/>
      <c r="S735" s="28"/>
    </row>
    <row r="736">
      <c r="Q736" s="28"/>
      <c r="R736" s="28"/>
      <c r="S736" s="28"/>
    </row>
    <row r="737">
      <c r="Q737" s="28"/>
      <c r="R737" s="28"/>
      <c r="S737" s="28"/>
    </row>
    <row r="738">
      <c r="Q738" s="28"/>
      <c r="R738" s="28"/>
      <c r="S738" s="28"/>
    </row>
    <row r="739">
      <c r="Q739" s="28"/>
      <c r="R739" s="28"/>
      <c r="S739" s="28"/>
    </row>
    <row r="740">
      <c r="Q740" s="28"/>
      <c r="R740" s="28"/>
      <c r="S740" s="28"/>
    </row>
    <row r="741">
      <c r="Q741" s="28"/>
      <c r="R741" s="28"/>
      <c r="S741" s="28"/>
    </row>
    <row r="742">
      <c r="Q742" s="28"/>
      <c r="R742" s="28"/>
      <c r="S742" s="28"/>
    </row>
    <row r="743">
      <c r="Q743" s="28"/>
      <c r="R743" s="28"/>
      <c r="S743" s="28"/>
    </row>
    <row r="744">
      <c r="Q744" s="28"/>
      <c r="R744" s="28"/>
      <c r="S744" s="28"/>
    </row>
    <row r="745">
      <c r="Q745" s="28"/>
      <c r="R745" s="28"/>
      <c r="S745" s="28"/>
    </row>
    <row r="746">
      <c r="Q746" s="28"/>
      <c r="R746" s="28"/>
      <c r="S746" s="28"/>
    </row>
    <row r="747">
      <c r="Q747" s="28"/>
      <c r="R747" s="28"/>
      <c r="S747" s="28"/>
    </row>
    <row r="748">
      <c r="Q748" s="28"/>
      <c r="R748" s="28"/>
      <c r="S748" s="28"/>
    </row>
    <row r="749">
      <c r="Q749" s="28"/>
      <c r="R749" s="28"/>
      <c r="S749" s="28"/>
    </row>
    <row r="750">
      <c r="Q750" s="28"/>
      <c r="R750" s="28"/>
      <c r="S750" s="28"/>
    </row>
    <row r="751">
      <c r="Q751" s="28"/>
      <c r="R751" s="28"/>
      <c r="S751" s="28"/>
    </row>
    <row r="752">
      <c r="Q752" s="28"/>
      <c r="R752" s="28"/>
      <c r="S752" s="28"/>
    </row>
    <row r="753">
      <c r="Q753" s="28"/>
      <c r="R753" s="28"/>
      <c r="S753" s="28"/>
    </row>
    <row r="754">
      <c r="Q754" s="28"/>
      <c r="R754" s="28"/>
      <c r="S754" s="28"/>
    </row>
    <row r="755">
      <c r="Q755" s="28"/>
      <c r="R755" s="28"/>
      <c r="S755" s="28"/>
    </row>
    <row r="756">
      <c r="Q756" s="28"/>
      <c r="R756" s="28"/>
      <c r="S756" s="28"/>
    </row>
    <row r="757">
      <c r="Q757" s="28"/>
      <c r="R757" s="28"/>
      <c r="S757" s="28"/>
    </row>
    <row r="758">
      <c r="Q758" s="28"/>
      <c r="R758" s="28"/>
      <c r="S758" s="28"/>
    </row>
    <row r="759">
      <c r="Q759" s="28"/>
      <c r="R759" s="28"/>
      <c r="S759" s="28"/>
    </row>
    <row r="760">
      <c r="Q760" s="28"/>
      <c r="R760" s="28"/>
      <c r="S760" s="28"/>
    </row>
    <row r="761">
      <c r="Q761" s="28"/>
      <c r="R761" s="28"/>
      <c r="S761" s="28"/>
    </row>
    <row r="762">
      <c r="Q762" s="28"/>
      <c r="R762" s="28"/>
      <c r="S762" s="28"/>
    </row>
    <row r="763">
      <c r="Q763" s="28"/>
      <c r="R763" s="28"/>
      <c r="S763" s="28"/>
    </row>
    <row r="764">
      <c r="Q764" s="28"/>
      <c r="R764" s="28"/>
      <c r="S764" s="28"/>
    </row>
    <row r="765">
      <c r="Q765" s="28"/>
      <c r="R765" s="28"/>
      <c r="S765" s="28"/>
    </row>
    <row r="766">
      <c r="Q766" s="28"/>
      <c r="R766" s="28"/>
      <c r="S766" s="28"/>
    </row>
    <row r="767">
      <c r="Q767" s="28"/>
      <c r="R767" s="28"/>
      <c r="S767" s="28"/>
    </row>
    <row r="768">
      <c r="Q768" s="28"/>
      <c r="R768" s="28"/>
      <c r="S768" s="28"/>
    </row>
    <row r="769">
      <c r="Q769" s="28"/>
      <c r="R769" s="28"/>
      <c r="S769" s="28"/>
    </row>
    <row r="770">
      <c r="Q770" s="28"/>
      <c r="R770" s="28"/>
      <c r="S770" s="28"/>
    </row>
    <row r="771">
      <c r="Q771" s="28"/>
      <c r="R771" s="28"/>
      <c r="S771" s="28"/>
    </row>
    <row r="772">
      <c r="Q772" s="28"/>
      <c r="R772" s="28"/>
      <c r="S772" s="28"/>
    </row>
    <row r="773">
      <c r="Q773" s="28"/>
      <c r="R773" s="28"/>
      <c r="S773" s="28"/>
    </row>
    <row r="774">
      <c r="Q774" s="28"/>
      <c r="R774" s="28"/>
      <c r="S774" s="28"/>
    </row>
    <row r="775">
      <c r="Q775" s="28"/>
      <c r="R775" s="28"/>
      <c r="S775" s="28"/>
    </row>
    <row r="776">
      <c r="Q776" s="28"/>
      <c r="R776" s="28"/>
      <c r="S776" s="28"/>
    </row>
    <row r="777">
      <c r="Q777" s="28"/>
      <c r="R777" s="28"/>
      <c r="S777" s="28"/>
    </row>
    <row r="778">
      <c r="Q778" s="28"/>
      <c r="R778" s="28"/>
      <c r="S778" s="28"/>
    </row>
    <row r="779">
      <c r="Q779" s="28"/>
      <c r="R779" s="28"/>
      <c r="S779" s="28"/>
    </row>
    <row r="780">
      <c r="Q780" s="28"/>
      <c r="R780" s="28"/>
      <c r="S780" s="28"/>
    </row>
    <row r="781">
      <c r="Q781" s="28"/>
      <c r="R781" s="28"/>
      <c r="S781" s="28"/>
    </row>
    <row r="782">
      <c r="Q782" s="28"/>
      <c r="R782" s="28"/>
      <c r="S782" s="28"/>
    </row>
    <row r="783">
      <c r="Q783" s="28"/>
      <c r="R783" s="28"/>
      <c r="S783" s="28"/>
    </row>
    <row r="784">
      <c r="Q784" s="28"/>
      <c r="R784" s="28"/>
      <c r="S784" s="28"/>
    </row>
    <row r="785">
      <c r="Q785" s="28"/>
      <c r="R785" s="28"/>
      <c r="S785" s="28"/>
    </row>
    <row r="786">
      <c r="Q786" s="28"/>
      <c r="R786" s="28"/>
      <c r="S786" s="28"/>
    </row>
    <row r="787">
      <c r="Q787" s="28"/>
      <c r="R787" s="28"/>
      <c r="S787" s="28"/>
    </row>
    <row r="788">
      <c r="Q788" s="28"/>
      <c r="R788" s="28"/>
      <c r="S788" s="28"/>
    </row>
    <row r="789">
      <c r="Q789" s="28"/>
      <c r="R789" s="28"/>
      <c r="S789" s="28"/>
    </row>
    <row r="790">
      <c r="Q790" s="28"/>
      <c r="R790" s="28"/>
      <c r="S790" s="28"/>
    </row>
    <row r="791">
      <c r="Q791" s="28"/>
      <c r="R791" s="28"/>
      <c r="S791" s="28"/>
    </row>
    <row r="792">
      <c r="Q792" s="28"/>
      <c r="R792" s="28"/>
      <c r="S792" s="28"/>
    </row>
    <row r="793">
      <c r="Q793" s="28"/>
      <c r="R793" s="28"/>
      <c r="S793" s="28"/>
    </row>
    <row r="794">
      <c r="Q794" s="28"/>
      <c r="R794" s="28"/>
      <c r="S794" s="28"/>
    </row>
    <row r="795">
      <c r="Q795" s="28"/>
      <c r="R795" s="28"/>
      <c r="S795" s="28"/>
    </row>
    <row r="796">
      <c r="Q796" s="28"/>
      <c r="R796" s="28"/>
      <c r="S796" s="28"/>
    </row>
    <row r="797">
      <c r="Q797" s="28"/>
      <c r="R797" s="28"/>
      <c r="S797" s="28"/>
    </row>
    <row r="798">
      <c r="Q798" s="28"/>
      <c r="R798" s="28"/>
      <c r="S798" s="28"/>
    </row>
    <row r="799">
      <c r="Q799" s="28"/>
      <c r="R799" s="28"/>
      <c r="S799" s="28"/>
    </row>
    <row r="800">
      <c r="Q800" s="28"/>
      <c r="R800" s="28"/>
      <c r="S800" s="28"/>
    </row>
    <row r="801">
      <c r="Q801" s="28"/>
      <c r="R801" s="28"/>
      <c r="S801" s="28"/>
    </row>
    <row r="802">
      <c r="Q802" s="28"/>
      <c r="R802" s="28"/>
      <c r="S802" s="28"/>
    </row>
    <row r="803">
      <c r="Q803" s="28"/>
      <c r="R803" s="28"/>
      <c r="S803" s="28"/>
    </row>
    <row r="804">
      <c r="Q804" s="28"/>
      <c r="R804" s="28"/>
      <c r="S804" s="28"/>
    </row>
    <row r="805">
      <c r="Q805" s="28"/>
      <c r="R805" s="28"/>
      <c r="S805" s="28"/>
    </row>
    <row r="806">
      <c r="Q806" s="28"/>
      <c r="R806" s="28"/>
      <c r="S806" s="28"/>
    </row>
    <row r="807">
      <c r="Q807" s="28"/>
      <c r="R807" s="28"/>
      <c r="S807" s="28"/>
    </row>
    <row r="808">
      <c r="Q808" s="28"/>
      <c r="R808" s="28"/>
      <c r="S808" s="28"/>
    </row>
    <row r="809">
      <c r="Q809" s="28"/>
      <c r="R809" s="28"/>
      <c r="S809" s="28"/>
    </row>
    <row r="810">
      <c r="Q810" s="28"/>
      <c r="R810" s="28"/>
      <c r="S810" s="28"/>
    </row>
    <row r="811">
      <c r="Q811" s="28"/>
      <c r="R811" s="28"/>
      <c r="S811" s="28"/>
    </row>
    <row r="812">
      <c r="Q812" s="28"/>
      <c r="R812" s="28"/>
      <c r="S812" s="28"/>
    </row>
    <row r="813">
      <c r="Q813" s="28"/>
      <c r="R813" s="28"/>
      <c r="S813" s="28"/>
    </row>
    <row r="814">
      <c r="Q814" s="28"/>
      <c r="R814" s="28"/>
      <c r="S814" s="28"/>
    </row>
    <row r="815">
      <c r="Q815" s="28"/>
      <c r="R815" s="28"/>
      <c r="S815" s="28"/>
    </row>
    <row r="816">
      <c r="Q816" s="28"/>
      <c r="R816" s="28"/>
      <c r="S816" s="28"/>
    </row>
    <row r="817">
      <c r="Q817" s="28"/>
      <c r="R817" s="28"/>
      <c r="S817" s="28"/>
    </row>
    <row r="818">
      <c r="Q818" s="28"/>
      <c r="R818" s="28"/>
      <c r="S818" s="28"/>
    </row>
    <row r="819">
      <c r="Q819" s="28"/>
      <c r="R819" s="28"/>
      <c r="S819" s="28"/>
    </row>
    <row r="820">
      <c r="Q820" s="28"/>
      <c r="R820" s="28"/>
      <c r="S820" s="28"/>
    </row>
    <row r="821">
      <c r="Q821" s="28"/>
      <c r="R821" s="28"/>
      <c r="S821" s="28"/>
    </row>
    <row r="822">
      <c r="Q822" s="28"/>
      <c r="R822" s="28"/>
      <c r="S822" s="28"/>
    </row>
    <row r="823">
      <c r="Q823" s="28"/>
      <c r="R823" s="28"/>
      <c r="S823" s="28"/>
    </row>
    <row r="824">
      <c r="Q824" s="28"/>
      <c r="R824" s="28"/>
      <c r="S824" s="28"/>
    </row>
    <row r="825">
      <c r="Q825" s="28"/>
      <c r="R825" s="28"/>
      <c r="S825" s="28"/>
    </row>
    <row r="826">
      <c r="Q826" s="28"/>
      <c r="R826" s="28"/>
      <c r="S826" s="28"/>
    </row>
    <row r="827">
      <c r="Q827" s="28"/>
      <c r="R827" s="28"/>
      <c r="S827" s="28"/>
    </row>
    <row r="828">
      <c r="Q828" s="28"/>
      <c r="R828" s="28"/>
      <c r="S828" s="28"/>
    </row>
    <row r="829">
      <c r="Q829" s="28"/>
      <c r="R829" s="28"/>
      <c r="S829" s="28"/>
    </row>
    <row r="830">
      <c r="Q830" s="28"/>
      <c r="R830" s="28"/>
      <c r="S830" s="28"/>
    </row>
    <row r="831">
      <c r="Q831" s="28"/>
      <c r="R831" s="28"/>
      <c r="S831" s="28"/>
    </row>
    <row r="832">
      <c r="Q832" s="28"/>
      <c r="R832" s="28"/>
      <c r="S832" s="28"/>
    </row>
    <row r="833">
      <c r="Q833" s="28"/>
      <c r="R833" s="28"/>
      <c r="S833" s="28"/>
    </row>
    <row r="834">
      <c r="Q834" s="28"/>
      <c r="R834" s="28"/>
      <c r="S834" s="28"/>
    </row>
    <row r="835">
      <c r="Q835" s="28"/>
      <c r="R835" s="28"/>
      <c r="S835" s="28"/>
    </row>
    <row r="836">
      <c r="Q836" s="28"/>
      <c r="R836" s="28"/>
      <c r="S836" s="28"/>
    </row>
    <row r="837">
      <c r="Q837" s="28"/>
      <c r="R837" s="28"/>
      <c r="S837" s="28"/>
    </row>
    <row r="838">
      <c r="Q838" s="28"/>
      <c r="R838" s="28"/>
      <c r="S838" s="28"/>
    </row>
    <row r="839">
      <c r="Q839" s="28"/>
      <c r="R839" s="28"/>
      <c r="S839" s="28"/>
    </row>
    <row r="840">
      <c r="Q840" s="28"/>
      <c r="R840" s="28"/>
      <c r="S840" s="28"/>
    </row>
    <row r="841">
      <c r="Q841" s="28"/>
      <c r="R841" s="28"/>
      <c r="S841" s="28"/>
    </row>
    <row r="842">
      <c r="Q842" s="28"/>
      <c r="R842" s="28"/>
      <c r="S842" s="28"/>
    </row>
    <row r="843">
      <c r="Q843" s="28"/>
      <c r="R843" s="28"/>
      <c r="S843" s="28"/>
    </row>
    <row r="844">
      <c r="Q844" s="28"/>
      <c r="R844" s="28"/>
      <c r="S844" s="28"/>
    </row>
    <row r="845">
      <c r="Q845" s="28"/>
      <c r="R845" s="28"/>
      <c r="S845" s="28"/>
    </row>
    <row r="846">
      <c r="Q846" s="28"/>
      <c r="R846" s="28"/>
      <c r="S846" s="28"/>
    </row>
    <row r="847">
      <c r="Q847" s="28"/>
      <c r="R847" s="28"/>
      <c r="S847" s="28"/>
    </row>
    <row r="848">
      <c r="Q848" s="28"/>
      <c r="R848" s="28"/>
      <c r="S848" s="28"/>
    </row>
    <row r="849">
      <c r="Q849" s="28"/>
      <c r="R849" s="28"/>
      <c r="S849" s="28"/>
    </row>
    <row r="850">
      <c r="Q850" s="28"/>
      <c r="R850" s="28"/>
      <c r="S850" s="28"/>
    </row>
    <row r="851">
      <c r="Q851" s="28"/>
      <c r="R851" s="28"/>
      <c r="S851" s="28"/>
    </row>
    <row r="852">
      <c r="Q852" s="28"/>
      <c r="R852" s="28"/>
      <c r="S852" s="28"/>
    </row>
    <row r="853">
      <c r="Q853" s="28"/>
      <c r="R853" s="28"/>
      <c r="S853" s="28"/>
    </row>
    <row r="854">
      <c r="Q854" s="28"/>
      <c r="R854" s="28"/>
      <c r="S854" s="28"/>
    </row>
    <row r="855">
      <c r="Q855" s="28"/>
      <c r="R855" s="28"/>
      <c r="S855" s="28"/>
    </row>
    <row r="856">
      <c r="Q856" s="28"/>
      <c r="R856" s="28"/>
      <c r="S856" s="28"/>
    </row>
    <row r="857">
      <c r="Q857" s="28"/>
      <c r="R857" s="28"/>
      <c r="S857" s="28"/>
    </row>
    <row r="858">
      <c r="Q858" s="28"/>
      <c r="R858" s="28"/>
      <c r="S858" s="28"/>
    </row>
    <row r="859">
      <c r="Q859" s="28"/>
      <c r="R859" s="28"/>
      <c r="S859" s="28"/>
    </row>
    <row r="860">
      <c r="Q860" s="28"/>
      <c r="R860" s="28"/>
      <c r="S860" s="28"/>
    </row>
    <row r="861">
      <c r="Q861" s="28"/>
      <c r="R861" s="28"/>
      <c r="S861" s="28"/>
    </row>
    <row r="862">
      <c r="Q862" s="28"/>
      <c r="R862" s="28"/>
      <c r="S862" s="28"/>
    </row>
    <row r="863">
      <c r="Q863" s="28"/>
      <c r="R863" s="28"/>
      <c r="S863" s="28"/>
    </row>
    <row r="864">
      <c r="Q864" s="28"/>
      <c r="R864" s="28"/>
      <c r="S864" s="28"/>
    </row>
    <row r="865">
      <c r="Q865" s="28"/>
      <c r="R865" s="28"/>
      <c r="S865" s="28"/>
    </row>
    <row r="866">
      <c r="Q866" s="28"/>
      <c r="R866" s="28"/>
      <c r="S866" s="28"/>
    </row>
    <row r="867">
      <c r="Q867" s="28"/>
      <c r="R867" s="28"/>
      <c r="S867" s="28"/>
    </row>
    <row r="868">
      <c r="Q868" s="28"/>
      <c r="R868" s="28"/>
      <c r="S868" s="28"/>
    </row>
    <row r="869">
      <c r="Q869" s="28"/>
      <c r="R869" s="28"/>
      <c r="S869" s="28"/>
    </row>
    <row r="870">
      <c r="Q870" s="28"/>
      <c r="R870" s="28"/>
      <c r="S870" s="28"/>
    </row>
    <row r="871">
      <c r="Q871" s="28"/>
      <c r="R871" s="28"/>
      <c r="S871" s="28"/>
    </row>
    <row r="872">
      <c r="Q872" s="28"/>
      <c r="R872" s="28"/>
      <c r="S872" s="28"/>
    </row>
    <row r="873">
      <c r="Q873" s="28"/>
      <c r="R873" s="28"/>
      <c r="S873" s="28"/>
    </row>
    <row r="874">
      <c r="Q874" s="28"/>
      <c r="R874" s="28"/>
      <c r="S874" s="28"/>
    </row>
    <row r="875">
      <c r="Q875" s="28"/>
      <c r="R875" s="28"/>
      <c r="S875" s="28"/>
    </row>
    <row r="876">
      <c r="Q876" s="28"/>
      <c r="R876" s="28"/>
      <c r="S876" s="28"/>
    </row>
    <row r="877">
      <c r="Q877" s="28"/>
      <c r="R877" s="28"/>
      <c r="S877" s="28"/>
    </row>
    <row r="878">
      <c r="Q878" s="28"/>
      <c r="R878" s="28"/>
      <c r="S878" s="28"/>
    </row>
    <row r="879">
      <c r="Q879" s="28"/>
      <c r="R879" s="28"/>
      <c r="S879" s="28"/>
    </row>
    <row r="880">
      <c r="Q880" s="28"/>
      <c r="R880" s="28"/>
      <c r="S880" s="28"/>
    </row>
    <row r="881">
      <c r="Q881" s="28"/>
      <c r="R881" s="28"/>
      <c r="S881" s="28"/>
    </row>
    <row r="882">
      <c r="Q882" s="28"/>
      <c r="R882" s="28"/>
      <c r="S882" s="28"/>
    </row>
    <row r="883">
      <c r="Q883" s="28"/>
      <c r="R883" s="28"/>
      <c r="S883" s="28"/>
    </row>
    <row r="884">
      <c r="Q884" s="28"/>
      <c r="R884" s="28"/>
      <c r="S884" s="28"/>
    </row>
    <row r="885">
      <c r="Q885" s="28"/>
      <c r="R885" s="28"/>
      <c r="S885" s="28"/>
    </row>
    <row r="886">
      <c r="Q886" s="28"/>
      <c r="R886" s="28"/>
      <c r="S886" s="28"/>
    </row>
    <row r="887">
      <c r="Q887" s="28"/>
      <c r="R887" s="28"/>
      <c r="S887" s="28"/>
    </row>
    <row r="888">
      <c r="Q888" s="28"/>
      <c r="R888" s="28"/>
      <c r="S888" s="28"/>
    </row>
    <row r="889">
      <c r="Q889" s="28"/>
      <c r="R889" s="28"/>
      <c r="S889" s="28"/>
    </row>
    <row r="890">
      <c r="Q890" s="28"/>
      <c r="R890" s="28"/>
      <c r="S890" s="28"/>
    </row>
    <row r="891">
      <c r="Q891" s="28"/>
      <c r="R891" s="28"/>
      <c r="S891" s="28"/>
    </row>
    <row r="892">
      <c r="Q892" s="28"/>
      <c r="R892" s="28"/>
      <c r="S892" s="28"/>
    </row>
    <row r="893">
      <c r="Q893" s="28"/>
      <c r="R893" s="28"/>
      <c r="S893" s="28"/>
    </row>
    <row r="894">
      <c r="Q894" s="28"/>
      <c r="R894" s="28"/>
      <c r="S894" s="28"/>
    </row>
    <row r="895">
      <c r="Q895" s="28"/>
      <c r="R895" s="28"/>
      <c r="S895" s="28"/>
    </row>
    <row r="896">
      <c r="Q896" s="28"/>
      <c r="R896" s="28"/>
      <c r="S896" s="28"/>
    </row>
    <row r="897">
      <c r="Q897" s="28"/>
      <c r="R897" s="28"/>
      <c r="S897" s="28"/>
    </row>
    <row r="898">
      <c r="Q898" s="28"/>
      <c r="R898" s="28"/>
      <c r="S898" s="28"/>
    </row>
    <row r="899">
      <c r="Q899" s="28"/>
      <c r="R899" s="28"/>
      <c r="S899" s="28"/>
    </row>
    <row r="900">
      <c r="Q900" s="28"/>
      <c r="R900" s="28"/>
      <c r="S900" s="28"/>
    </row>
    <row r="901">
      <c r="Q901" s="28"/>
      <c r="R901" s="28"/>
      <c r="S901" s="28"/>
    </row>
    <row r="902">
      <c r="Q902" s="28"/>
      <c r="R902" s="28"/>
      <c r="S902" s="28"/>
    </row>
    <row r="903">
      <c r="Q903" s="28"/>
      <c r="R903" s="28"/>
      <c r="S903" s="28"/>
    </row>
    <row r="904">
      <c r="Q904" s="28"/>
      <c r="R904" s="28"/>
      <c r="S904" s="28"/>
    </row>
    <row r="905">
      <c r="Q905" s="28"/>
      <c r="R905" s="28"/>
      <c r="S905" s="28"/>
    </row>
    <row r="906">
      <c r="Q906" s="28"/>
      <c r="R906" s="28"/>
      <c r="S906" s="28"/>
    </row>
    <row r="907">
      <c r="Q907" s="28"/>
      <c r="R907" s="28"/>
      <c r="S907" s="28"/>
    </row>
    <row r="908">
      <c r="Q908" s="28"/>
      <c r="R908" s="28"/>
      <c r="S908" s="28"/>
    </row>
    <row r="909">
      <c r="Q909" s="28"/>
      <c r="R909" s="28"/>
      <c r="S909" s="28"/>
    </row>
    <row r="910">
      <c r="Q910" s="28"/>
      <c r="R910" s="28"/>
      <c r="S910" s="28"/>
    </row>
    <row r="911">
      <c r="Q911" s="28"/>
      <c r="R911" s="28"/>
      <c r="S911" s="28"/>
    </row>
    <row r="912">
      <c r="Q912" s="28"/>
      <c r="R912" s="28"/>
      <c r="S912" s="28"/>
    </row>
    <row r="913">
      <c r="Q913" s="28"/>
      <c r="R913" s="28"/>
      <c r="S913" s="28"/>
    </row>
    <row r="914">
      <c r="Q914" s="28"/>
      <c r="R914" s="28"/>
      <c r="S914" s="28"/>
    </row>
    <row r="915">
      <c r="Q915" s="28"/>
      <c r="R915" s="28"/>
      <c r="S915" s="28"/>
    </row>
    <row r="916">
      <c r="Q916" s="28"/>
      <c r="R916" s="28"/>
      <c r="S916" s="28"/>
    </row>
    <row r="917">
      <c r="Q917" s="28"/>
      <c r="R917" s="28"/>
      <c r="S917" s="28"/>
    </row>
    <row r="918">
      <c r="Q918" s="28"/>
      <c r="R918" s="28"/>
      <c r="S918" s="28"/>
    </row>
    <row r="919">
      <c r="Q919" s="28"/>
      <c r="R919" s="28"/>
      <c r="S919" s="28"/>
    </row>
    <row r="920">
      <c r="Q920" s="28"/>
      <c r="R920" s="28"/>
      <c r="S920" s="28"/>
    </row>
    <row r="921">
      <c r="Q921" s="28"/>
      <c r="R921" s="28"/>
      <c r="S921" s="28"/>
    </row>
    <row r="922">
      <c r="Q922" s="28"/>
      <c r="R922" s="28"/>
      <c r="S922" s="28"/>
    </row>
    <row r="923">
      <c r="Q923" s="28"/>
      <c r="R923" s="28"/>
      <c r="S923" s="28"/>
    </row>
    <row r="924">
      <c r="Q924" s="28"/>
      <c r="R924" s="28"/>
      <c r="S924" s="28"/>
    </row>
    <row r="925">
      <c r="Q925" s="28"/>
      <c r="R925" s="28"/>
      <c r="S925" s="28"/>
    </row>
    <row r="926">
      <c r="Q926" s="28"/>
      <c r="R926" s="28"/>
      <c r="S926" s="28"/>
    </row>
    <row r="927">
      <c r="Q927" s="28"/>
      <c r="R927" s="28"/>
      <c r="S927" s="28"/>
    </row>
    <row r="928">
      <c r="Q928" s="28"/>
      <c r="R928" s="28"/>
      <c r="S928" s="28"/>
    </row>
    <row r="929">
      <c r="Q929" s="28"/>
      <c r="R929" s="28"/>
      <c r="S929" s="28"/>
    </row>
    <row r="930">
      <c r="Q930" s="28"/>
      <c r="R930" s="28"/>
      <c r="S930" s="28"/>
    </row>
    <row r="931">
      <c r="Q931" s="28"/>
      <c r="R931" s="28"/>
      <c r="S931" s="28"/>
    </row>
    <row r="932">
      <c r="Q932" s="28"/>
      <c r="R932" s="28"/>
      <c r="S932" s="28"/>
    </row>
    <row r="933">
      <c r="Q933" s="28"/>
      <c r="R933" s="28"/>
      <c r="S933" s="28"/>
    </row>
    <row r="934">
      <c r="Q934" s="28"/>
      <c r="R934" s="28"/>
      <c r="S934" s="28"/>
    </row>
    <row r="935">
      <c r="Q935" s="28"/>
      <c r="R935" s="28"/>
      <c r="S935" s="28"/>
    </row>
    <row r="936">
      <c r="Q936" s="28"/>
      <c r="R936" s="28"/>
      <c r="S936" s="28"/>
    </row>
    <row r="937">
      <c r="Q937" s="28"/>
      <c r="R937" s="28"/>
      <c r="S937" s="28"/>
    </row>
    <row r="938">
      <c r="Q938" s="28"/>
      <c r="R938" s="28"/>
      <c r="S938" s="28"/>
    </row>
    <row r="939">
      <c r="Q939" s="28"/>
      <c r="R939" s="28"/>
      <c r="S939" s="28"/>
    </row>
    <row r="940">
      <c r="Q940" s="28"/>
      <c r="R940" s="28"/>
      <c r="S940" s="28"/>
    </row>
    <row r="941">
      <c r="Q941" s="28"/>
      <c r="R941" s="28"/>
      <c r="S941" s="28"/>
    </row>
    <row r="942">
      <c r="Q942" s="28"/>
      <c r="R942" s="28"/>
      <c r="S942" s="28"/>
    </row>
    <row r="943">
      <c r="Q943" s="28"/>
      <c r="R943" s="28"/>
      <c r="S943" s="28"/>
    </row>
    <row r="944">
      <c r="Q944" s="28"/>
      <c r="R944" s="28"/>
      <c r="S944" s="28"/>
    </row>
    <row r="945">
      <c r="Q945" s="28"/>
      <c r="R945" s="28"/>
      <c r="S945" s="28"/>
    </row>
    <row r="946">
      <c r="Q946" s="28"/>
      <c r="R946" s="28"/>
      <c r="S946" s="28"/>
    </row>
    <row r="947">
      <c r="Q947" s="28"/>
      <c r="R947" s="28"/>
      <c r="S947" s="28"/>
    </row>
    <row r="948">
      <c r="Q948" s="28"/>
      <c r="R948" s="28"/>
      <c r="S948" s="28"/>
    </row>
    <row r="949">
      <c r="Q949" s="28"/>
      <c r="R949" s="28"/>
      <c r="S949" s="28"/>
    </row>
    <row r="950">
      <c r="Q950" s="28"/>
      <c r="R950" s="28"/>
      <c r="S950" s="28"/>
    </row>
    <row r="951">
      <c r="Q951" s="28"/>
      <c r="R951" s="28"/>
      <c r="S951" s="28"/>
    </row>
    <row r="952">
      <c r="Q952" s="28"/>
      <c r="R952" s="28"/>
      <c r="S952" s="28"/>
    </row>
    <row r="953">
      <c r="Q953" s="28"/>
      <c r="R953" s="28"/>
      <c r="S953" s="28"/>
    </row>
    <row r="954">
      <c r="Q954" s="28"/>
      <c r="R954" s="28"/>
      <c r="S954" s="28"/>
    </row>
    <row r="955">
      <c r="Q955" s="28"/>
      <c r="R955" s="28"/>
      <c r="S955" s="28"/>
    </row>
    <row r="956">
      <c r="Q956" s="28"/>
      <c r="R956" s="28"/>
      <c r="S956" s="28"/>
    </row>
    <row r="957">
      <c r="Q957" s="28"/>
      <c r="R957" s="28"/>
      <c r="S957" s="28"/>
    </row>
    <row r="958">
      <c r="Q958" s="28"/>
      <c r="R958" s="28"/>
      <c r="S958" s="28"/>
    </row>
    <row r="959">
      <c r="Q959" s="28"/>
      <c r="R959" s="28"/>
      <c r="S959" s="28"/>
    </row>
    <row r="960">
      <c r="Q960" s="28"/>
      <c r="R960" s="28"/>
      <c r="S960" s="28"/>
    </row>
    <row r="961">
      <c r="Q961" s="28"/>
      <c r="R961" s="28"/>
      <c r="S961" s="28"/>
    </row>
    <row r="962">
      <c r="Q962" s="28"/>
      <c r="R962" s="28"/>
      <c r="S962" s="28"/>
    </row>
    <row r="963">
      <c r="Q963" s="28"/>
      <c r="R963" s="28"/>
      <c r="S963" s="28"/>
    </row>
    <row r="964">
      <c r="Q964" s="28"/>
      <c r="R964" s="28"/>
      <c r="S964" s="28"/>
    </row>
    <row r="965">
      <c r="Q965" s="28"/>
      <c r="R965" s="28"/>
      <c r="S965" s="28"/>
    </row>
    <row r="966">
      <c r="Q966" s="28"/>
      <c r="R966" s="28"/>
      <c r="S966" s="28"/>
    </row>
    <row r="967">
      <c r="Q967" s="28"/>
      <c r="R967" s="28"/>
      <c r="S967" s="28"/>
    </row>
    <row r="968">
      <c r="Q968" s="28"/>
      <c r="R968" s="28"/>
      <c r="S968" s="28"/>
    </row>
    <row r="969">
      <c r="Q969" s="28"/>
      <c r="R969" s="28"/>
      <c r="S969" s="28"/>
    </row>
    <row r="970">
      <c r="Q970" s="28"/>
      <c r="R970" s="28"/>
      <c r="S970" s="28"/>
    </row>
    <row r="971">
      <c r="Q971" s="28"/>
      <c r="R971" s="28"/>
      <c r="S971" s="28"/>
    </row>
    <row r="972">
      <c r="Q972" s="28"/>
      <c r="R972" s="28"/>
      <c r="S972" s="28"/>
    </row>
    <row r="973">
      <c r="Q973" s="28"/>
      <c r="R973" s="28"/>
      <c r="S973" s="28"/>
    </row>
    <row r="974">
      <c r="Q974" s="28"/>
      <c r="R974" s="28"/>
      <c r="S974" s="28"/>
    </row>
    <row r="975">
      <c r="Q975" s="28"/>
      <c r="R975" s="28"/>
      <c r="S975" s="28"/>
    </row>
    <row r="976">
      <c r="Q976" s="28"/>
      <c r="R976" s="28"/>
      <c r="S976" s="28"/>
    </row>
    <row r="977">
      <c r="Q977" s="28"/>
      <c r="R977" s="28"/>
      <c r="S977" s="28"/>
    </row>
    <row r="978">
      <c r="Q978" s="28"/>
      <c r="R978" s="28"/>
      <c r="S978" s="28"/>
    </row>
    <row r="979">
      <c r="Q979" s="28"/>
      <c r="R979" s="28"/>
      <c r="S979" s="28"/>
    </row>
    <row r="980">
      <c r="Q980" s="28"/>
      <c r="R980" s="28"/>
      <c r="S980" s="28"/>
    </row>
    <row r="981">
      <c r="Q981" s="28"/>
      <c r="R981" s="28"/>
      <c r="S981" s="28"/>
    </row>
    <row r="982">
      <c r="Q982" s="28"/>
      <c r="R982" s="28"/>
      <c r="S982" s="28"/>
    </row>
    <row r="983">
      <c r="Q983" s="28"/>
      <c r="R983" s="28"/>
      <c r="S983" s="28"/>
    </row>
    <row r="984">
      <c r="Q984" s="28"/>
      <c r="R984" s="28"/>
      <c r="S984" s="28"/>
    </row>
    <row r="985">
      <c r="Q985" s="28"/>
      <c r="R985" s="28"/>
      <c r="S985" s="28"/>
    </row>
    <row r="986">
      <c r="Q986" s="28"/>
      <c r="R986" s="28"/>
      <c r="S986" s="28"/>
    </row>
    <row r="987">
      <c r="Q987" s="28"/>
      <c r="R987" s="28"/>
      <c r="S987" s="28"/>
    </row>
    <row r="988">
      <c r="Q988" s="28"/>
      <c r="R988" s="28"/>
      <c r="S988" s="28"/>
    </row>
    <row r="989">
      <c r="Q989" s="28"/>
      <c r="R989" s="28"/>
      <c r="S989" s="28"/>
    </row>
    <row r="990">
      <c r="Q990" s="28"/>
      <c r="R990" s="28"/>
      <c r="S990" s="28"/>
    </row>
    <row r="991">
      <c r="Q991" s="28"/>
      <c r="R991" s="28"/>
      <c r="S991" s="28"/>
    </row>
    <row r="992">
      <c r="Q992" s="28"/>
      <c r="R992" s="28"/>
      <c r="S992" s="28"/>
    </row>
    <row r="993">
      <c r="Q993" s="28"/>
      <c r="R993" s="28"/>
      <c r="S993" s="28"/>
    </row>
    <row r="994">
      <c r="Q994" s="28"/>
      <c r="R994" s="28"/>
      <c r="S994" s="28"/>
    </row>
    <row r="995">
      <c r="Q995" s="28"/>
      <c r="R995" s="28"/>
      <c r="S995" s="28"/>
    </row>
    <row r="996">
      <c r="Q996" s="28"/>
      <c r="R996" s="28"/>
      <c r="S996" s="28"/>
    </row>
    <row r="997">
      <c r="Q997" s="28"/>
      <c r="R997" s="28"/>
      <c r="S997" s="28"/>
    </row>
    <row r="998">
      <c r="Q998" s="28"/>
      <c r="R998" s="28"/>
      <c r="S998" s="28"/>
    </row>
    <row r="999">
      <c r="Q999" s="28"/>
      <c r="R999" s="28"/>
      <c r="S999" s="28"/>
    </row>
    <row r="1000">
      <c r="Q1000" s="28"/>
      <c r="R1000" s="28"/>
      <c r="S1000" s="28"/>
    </row>
  </sheetData>
  <hyperlinks>
    <hyperlink r:id="rId1" ref="M2"/>
    <hyperlink r:id="rId2" ref="M4"/>
    <hyperlink r:id="rId3" ref="M5"/>
    <hyperlink r:id="rId4" ref="M6"/>
    <hyperlink r:id="rId5" ref="M7"/>
    <hyperlink r:id="rId6" ref="M8"/>
    <hyperlink r:id="rId7" ref="M10"/>
    <hyperlink r:id="rId8" ref="M11"/>
    <hyperlink r:id="rId9" ref="M12"/>
    <hyperlink r:id="rId10" ref="M13"/>
    <hyperlink r:id="rId11" ref="M14"/>
    <hyperlink r:id="rId12" ref="M15"/>
    <hyperlink r:id="rId13" ref="M16"/>
    <hyperlink r:id="rId14" ref="M18"/>
    <hyperlink r:id="rId15" ref="M19"/>
    <hyperlink r:id="rId16" ref="M20"/>
    <hyperlink r:id="rId17" ref="M21"/>
    <hyperlink r:id="rId18" ref="M22"/>
    <hyperlink r:id="rId19" ref="M23"/>
    <hyperlink r:id="rId20" ref="M25"/>
    <hyperlink r:id="rId21" ref="M26"/>
    <hyperlink r:id="rId22" ref="M28"/>
    <hyperlink r:id="rId23" ref="M29"/>
    <hyperlink r:id="rId24" ref="M30"/>
    <hyperlink r:id="rId25" ref="M31"/>
    <hyperlink r:id="rId26" ref="M32"/>
    <hyperlink r:id="rId27" ref="M33"/>
    <hyperlink r:id="rId28" ref="M34"/>
    <hyperlink r:id="rId29" ref="M35"/>
    <hyperlink r:id="rId30" ref="M36"/>
    <hyperlink r:id="rId31" ref="M38"/>
    <hyperlink r:id="rId32" ref="M39"/>
    <hyperlink r:id="rId33" ref="M40"/>
    <hyperlink r:id="rId34" ref="M41"/>
    <hyperlink r:id="rId35" ref="M43"/>
    <hyperlink r:id="rId36" ref="M44"/>
    <hyperlink r:id="rId37" ref="M46"/>
    <hyperlink r:id="rId38" ref="M47"/>
    <hyperlink r:id="rId39" ref="M49"/>
    <hyperlink r:id="rId40" ref="M50"/>
    <hyperlink r:id="rId41" ref="M51"/>
    <hyperlink r:id="rId42" ref="M52"/>
    <hyperlink r:id="rId43" ref="M53"/>
    <hyperlink r:id="rId44" ref="M54"/>
    <hyperlink r:id="rId45" ref="M55"/>
    <hyperlink r:id="rId46" ref="M56"/>
    <hyperlink r:id="rId47" ref="M57"/>
    <hyperlink r:id="rId48" ref="M58"/>
    <hyperlink r:id="rId49" ref="M59"/>
    <hyperlink r:id="rId50" ref="M60"/>
    <hyperlink r:id="rId51" ref="M61"/>
    <hyperlink r:id="rId52" ref="M64"/>
    <hyperlink r:id="rId53" ref="M66"/>
    <hyperlink r:id="rId54" ref="M67"/>
    <hyperlink r:id="rId55" ref="M70"/>
    <hyperlink r:id="rId56" ref="M71"/>
    <hyperlink r:id="rId57" ref="M72"/>
    <hyperlink r:id="rId58" ref="M73"/>
    <hyperlink r:id="rId59" ref="M74"/>
    <hyperlink r:id="rId60" ref="M75"/>
    <hyperlink r:id="rId61" ref="M76"/>
    <hyperlink r:id="rId62" ref="M77"/>
    <hyperlink r:id="rId63" ref="M78"/>
    <hyperlink r:id="rId64" ref="M79"/>
    <hyperlink r:id="rId65" ref="M80"/>
    <hyperlink r:id="rId66" ref="M81"/>
    <hyperlink r:id="rId67" ref="M84"/>
    <hyperlink r:id="rId68" ref="M86"/>
    <hyperlink r:id="rId69" ref="M87"/>
    <hyperlink r:id="rId70" ref="M89"/>
    <hyperlink r:id="rId71" ref="M90"/>
    <hyperlink r:id="rId72" ref="M92"/>
    <hyperlink r:id="rId73" ref="M93"/>
    <hyperlink r:id="rId74" ref="M94"/>
    <hyperlink r:id="rId75" ref="M95"/>
    <hyperlink r:id="rId76" ref="M96"/>
    <hyperlink r:id="rId77" ref="M97"/>
    <hyperlink r:id="rId78" ref="M98"/>
    <hyperlink r:id="rId79" ref="M99"/>
    <hyperlink r:id="rId80" ref="M100"/>
    <hyperlink r:id="rId81" ref="M101"/>
    <hyperlink r:id="rId82" ref="M102"/>
    <hyperlink r:id="rId83" ref="M103"/>
    <hyperlink r:id="rId84" ref="M104"/>
    <hyperlink r:id="rId85" ref="M105"/>
    <hyperlink r:id="rId86" ref="M106"/>
    <hyperlink r:id="rId87" ref="M107"/>
    <hyperlink r:id="rId88" ref="M108"/>
    <hyperlink r:id="rId89" ref="M109"/>
    <hyperlink r:id="rId90" ref="M110"/>
    <hyperlink r:id="rId91" ref="M111"/>
    <hyperlink r:id="rId92" ref="M112"/>
    <hyperlink r:id="rId93" ref="M113"/>
    <hyperlink r:id="rId94" ref="M114"/>
    <hyperlink r:id="rId95" ref="M115"/>
    <hyperlink r:id="rId96" ref="M116"/>
    <hyperlink r:id="rId97" ref="M117"/>
    <hyperlink r:id="rId98" ref="M118"/>
    <hyperlink r:id="rId99" ref="M119"/>
    <hyperlink r:id="rId100" ref="M120"/>
    <hyperlink r:id="rId101" ref="M121"/>
    <hyperlink r:id="rId102" ref="M122"/>
    <hyperlink r:id="rId103" ref="M123"/>
    <hyperlink r:id="rId104" ref="M124"/>
    <hyperlink r:id="rId105" ref="M125"/>
    <hyperlink r:id="rId106" ref="M126"/>
    <hyperlink r:id="rId107" ref="M127"/>
    <hyperlink r:id="rId108" ref="M128"/>
    <hyperlink r:id="rId109" ref="M129"/>
    <hyperlink r:id="rId110" ref="M130"/>
    <hyperlink r:id="rId111" ref="M131"/>
    <hyperlink r:id="rId112" ref="M132"/>
    <hyperlink r:id="rId113" ref="M133"/>
    <hyperlink r:id="rId114" ref="M134"/>
    <hyperlink r:id="rId115" ref="M135"/>
    <hyperlink r:id="rId116" ref="M136"/>
    <hyperlink r:id="rId117" ref="M137"/>
    <hyperlink r:id="rId118" ref="M138"/>
    <hyperlink r:id="rId119" ref="M139"/>
    <hyperlink r:id="rId120" ref="M140"/>
    <hyperlink r:id="rId121" ref="M141"/>
    <hyperlink r:id="rId122" ref="M142"/>
    <hyperlink r:id="rId123" ref="M144"/>
    <hyperlink r:id="rId124" ref="M145"/>
    <hyperlink r:id="rId125" ref="M146"/>
    <hyperlink r:id="rId126" ref="M147"/>
    <hyperlink r:id="rId127" ref="M149"/>
    <hyperlink r:id="rId128" ref="M150"/>
    <hyperlink r:id="rId129" ref="M151"/>
    <hyperlink r:id="rId130" ref="M152"/>
    <hyperlink r:id="rId131" ref="M153"/>
    <hyperlink r:id="rId132" ref="M154"/>
    <hyperlink r:id="rId133" ref="M155"/>
    <hyperlink r:id="rId134" ref="M156"/>
    <hyperlink r:id="rId135" ref="M157"/>
    <hyperlink r:id="rId136" ref="M158"/>
    <hyperlink r:id="rId137" ref="M159"/>
    <hyperlink r:id="rId138" ref="M160"/>
    <hyperlink r:id="rId139" ref="M161"/>
    <hyperlink r:id="rId140" ref="M162"/>
    <hyperlink r:id="rId141" ref="M164"/>
    <hyperlink r:id="rId142" ref="M166"/>
    <hyperlink r:id="rId143" ref="M167"/>
    <hyperlink r:id="rId144" ref="M169"/>
    <hyperlink r:id="rId145" ref="M171"/>
    <hyperlink r:id="rId146" ref="M172"/>
    <hyperlink r:id="rId147" ref="M174"/>
    <hyperlink r:id="rId148" ref="M176"/>
    <hyperlink r:id="rId149" ref="M177"/>
    <hyperlink r:id="rId150" ref="M179"/>
    <hyperlink r:id="rId151" ref="M181"/>
    <hyperlink r:id="rId152" ref="M182"/>
    <hyperlink r:id="rId153" ref="M184"/>
    <hyperlink r:id="rId154" ref="M185"/>
    <hyperlink r:id="rId155" ref="M186"/>
    <hyperlink r:id="rId156" ref="M187"/>
    <hyperlink r:id="rId157" ref="M189"/>
    <hyperlink r:id="rId158" ref="M191"/>
    <hyperlink r:id="rId159" ref="M192"/>
    <hyperlink r:id="rId160" ref="M194"/>
    <hyperlink r:id="rId161" ref="M196"/>
    <hyperlink r:id="rId162" ref="M198"/>
    <hyperlink r:id="rId163" ref="M199"/>
    <hyperlink r:id="rId164" ref="M201"/>
    <hyperlink r:id="rId165" ref="M202"/>
    <hyperlink r:id="rId166" ref="M204"/>
    <hyperlink r:id="rId167" ref="M206"/>
    <hyperlink r:id="rId168" ref="M207"/>
    <hyperlink r:id="rId169" ref="M209"/>
    <hyperlink r:id="rId170" ref="M211"/>
    <hyperlink r:id="rId171" ref="M212"/>
    <hyperlink r:id="rId172" ref="M213"/>
    <hyperlink r:id="rId173" ref="M214"/>
    <hyperlink r:id="rId174" ref="M216"/>
    <hyperlink r:id="rId175" ref="M218"/>
    <hyperlink r:id="rId176" ref="M219"/>
    <hyperlink r:id="rId177" ref="M221"/>
  </hyperlinks>
  <drawing r:id="rId178"/>
  <tableParts count="1">
    <tablePart r:id="rId18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3" width="18.88"/>
    <col customWidth="1" min="4" max="10" width="27.38"/>
  </cols>
  <sheetData>
    <row r="1">
      <c r="A1" s="51" t="s">
        <v>0</v>
      </c>
      <c r="B1" s="2" t="s">
        <v>1</v>
      </c>
      <c r="C1" s="2" t="s">
        <v>2184</v>
      </c>
      <c r="D1" s="2" t="s">
        <v>2185</v>
      </c>
      <c r="E1" s="2" t="s">
        <v>2186</v>
      </c>
      <c r="F1" s="2" t="s">
        <v>2187</v>
      </c>
      <c r="G1" s="2" t="s">
        <v>2188</v>
      </c>
      <c r="H1" s="2" t="s">
        <v>2189</v>
      </c>
      <c r="I1" s="2" t="s">
        <v>2190</v>
      </c>
      <c r="J1" s="2" t="s">
        <v>2191</v>
      </c>
    </row>
    <row r="2">
      <c r="A2" s="52" t="str">
        <f t="shared" ref="A2:A177" si="1">TEXT(ROW(A1),"000")
</f>
        <v>001</v>
      </c>
      <c r="B2" s="53" t="s">
        <v>28</v>
      </c>
      <c r="C2" s="54" t="s">
        <v>2192</v>
      </c>
      <c r="D2" s="54" t="s">
        <v>2193</v>
      </c>
      <c r="E2" s="54" t="s">
        <v>2194</v>
      </c>
      <c r="F2" s="54" t="s">
        <v>2195</v>
      </c>
      <c r="G2" s="54" t="s">
        <v>2196</v>
      </c>
      <c r="H2" s="54" t="s">
        <v>2197</v>
      </c>
      <c r="I2" s="54" t="s">
        <v>2198</v>
      </c>
      <c r="J2" s="54" t="s">
        <v>2199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52" t="str">
        <f t="shared" si="1"/>
        <v>002</v>
      </c>
      <c r="B3" s="53" t="s">
        <v>53</v>
      </c>
      <c r="C3" s="54" t="s">
        <v>2192</v>
      </c>
      <c r="D3" s="54" t="s">
        <v>2200</v>
      </c>
      <c r="E3" s="54" t="s">
        <v>2201</v>
      </c>
      <c r="F3" s="54" t="s">
        <v>2202</v>
      </c>
      <c r="G3" s="54" t="s">
        <v>2203</v>
      </c>
      <c r="H3" s="54" t="s">
        <v>2204</v>
      </c>
      <c r="I3" s="54" t="s">
        <v>2205</v>
      </c>
      <c r="J3" s="54" t="s">
        <v>2206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52" t="str">
        <f t="shared" si="1"/>
        <v>003</v>
      </c>
      <c r="B4" s="53" t="s">
        <v>63</v>
      </c>
      <c r="C4" s="54" t="s">
        <v>2192</v>
      </c>
      <c r="D4" s="54" t="s">
        <v>2207</v>
      </c>
      <c r="E4" s="54" t="s">
        <v>2208</v>
      </c>
      <c r="F4" s="54" t="s">
        <v>2209</v>
      </c>
      <c r="G4" s="54" t="s">
        <v>2210</v>
      </c>
      <c r="H4" s="54" t="s">
        <v>2211</v>
      </c>
      <c r="I4" s="54" t="s">
        <v>2212</v>
      </c>
      <c r="J4" s="54" t="s">
        <v>2213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52" t="str">
        <f t="shared" si="1"/>
        <v>004</v>
      </c>
      <c r="B5" s="53" t="s">
        <v>72</v>
      </c>
      <c r="C5" s="54" t="s">
        <v>2192</v>
      </c>
      <c r="D5" s="54" t="s">
        <v>2214</v>
      </c>
      <c r="E5" s="54" t="s">
        <v>2215</v>
      </c>
      <c r="F5" s="54" t="s">
        <v>2216</v>
      </c>
      <c r="G5" s="54" t="s">
        <v>2217</v>
      </c>
      <c r="H5" s="54" t="s">
        <v>2218</v>
      </c>
      <c r="I5" s="54" t="s">
        <v>2219</v>
      </c>
      <c r="J5" s="54" t="s">
        <v>2220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52" t="str">
        <f t="shared" si="1"/>
        <v>005</v>
      </c>
      <c r="B6" s="53" t="s">
        <v>80</v>
      </c>
      <c r="C6" s="54" t="s">
        <v>2192</v>
      </c>
      <c r="D6" s="54" t="s">
        <v>2221</v>
      </c>
      <c r="E6" s="54" t="s">
        <v>2222</v>
      </c>
      <c r="F6" s="54" t="s">
        <v>2223</v>
      </c>
      <c r="G6" s="54" t="s">
        <v>2224</v>
      </c>
      <c r="H6" s="54" t="s">
        <v>2225</v>
      </c>
      <c r="I6" s="54" t="s">
        <v>2226</v>
      </c>
      <c r="J6" s="54" t="s">
        <v>2227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52" t="str">
        <f t="shared" si="1"/>
        <v>006</v>
      </c>
      <c r="B7" s="53" t="s">
        <v>89</v>
      </c>
      <c r="C7" s="54" t="s">
        <v>2192</v>
      </c>
      <c r="D7" s="54" t="s">
        <v>2228</v>
      </c>
      <c r="E7" s="54" t="s">
        <v>2229</v>
      </c>
      <c r="F7" s="54" t="s">
        <v>2230</v>
      </c>
      <c r="G7" s="54" t="s">
        <v>2231</v>
      </c>
      <c r="H7" s="54" t="s">
        <v>2232</v>
      </c>
      <c r="I7" s="54" t="s">
        <v>2233</v>
      </c>
      <c r="J7" s="54" t="s">
        <v>2234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52" t="str">
        <f t="shared" si="1"/>
        <v>007</v>
      </c>
      <c r="B8" s="53" t="s">
        <v>93</v>
      </c>
      <c r="C8" s="54" t="s">
        <v>2192</v>
      </c>
      <c r="D8" s="54" t="s">
        <v>2235</v>
      </c>
      <c r="E8" s="54" t="s">
        <v>2236</v>
      </c>
      <c r="F8" s="54" t="s">
        <v>2237</v>
      </c>
      <c r="G8" s="54" t="s">
        <v>2238</v>
      </c>
      <c r="H8" s="54" t="s">
        <v>2239</v>
      </c>
      <c r="I8" s="54" t="s">
        <v>2240</v>
      </c>
      <c r="J8" s="54" t="s">
        <v>2241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52" t="str">
        <f t="shared" si="1"/>
        <v>008</v>
      </c>
      <c r="B9" s="53" t="s">
        <v>96</v>
      </c>
      <c r="C9" s="54" t="s">
        <v>2192</v>
      </c>
      <c r="D9" s="54" t="s">
        <v>2242</v>
      </c>
      <c r="E9" s="54" t="s">
        <v>2243</v>
      </c>
      <c r="F9" s="54" t="s">
        <v>2244</v>
      </c>
      <c r="G9" s="54" t="s">
        <v>2245</v>
      </c>
      <c r="H9" s="54" t="s">
        <v>2246</v>
      </c>
      <c r="I9" s="54" t="s">
        <v>2247</v>
      </c>
      <c r="J9" s="54" t="s">
        <v>2248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52" t="str">
        <f t="shared" si="1"/>
        <v>009</v>
      </c>
      <c r="B10" s="53" t="s">
        <v>100</v>
      </c>
      <c r="C10" s="54" t="s">
        <v>2192</v>
      </c>
      <c r="D10" s="54" t="s">
        <v>2249</v>
      </c>
      <c r="E10" s="54" t="s">
        <v>2250</v>
      </c>
      <c r="F10" s="54" t="s">
        <v>2251</v>
      </c>
      <c r="G10" s="54" t="s">
        <v>2252</v>
      </c>
      <c r="H10" s="54" t="s">
        <v>2253</v>
      </c>
      <c r="I10" s="54" t="s">
        <v>2254</v>
      </c>
      <c r="J10" s="54" t="s">
        <v>2255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52" t="str">
        <f t="shared" si="1"/>
        <v>010</v>
      </c>
      <c r="B11" s="53" t="s">
        <v>102</v>
      </c>
      <c r="C11" s="54" t="s">
        <v>2192</v>
      </c>
      <c r="D11" s="54" t="s">
        <v>2256</v>
      </c>
      <c r="E11" s="54" t="s">
        <v>2257</v>
      </c>
      <c r="F11" s="54" t="s">
        <v>2258</v>
      </c>
      <c r="G11" s="54" t="s">
        <v>2259</v>
      </c>
      <c r="H11" s="54" t="s">
        <v>2260</v>
      </c>
      <c r="I11" s="54" t="s">
        <v>2261</v>
      </c>
      <c r="J11" s="54" t="s">
        <v>2262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52" t="str">
        <f t="shared" si="1"/>
        <v>011</v>
      </c>
      <c r="B12" s="53" t="s">
        <v>106</v>
      </c>
      <c r="C12" s="54" t="s">
        <v>2192</v>
      </c>
      <c r="D12" s="54" t="s">
        <v>2263</v>
      </c>
      <c r="E12" s="54" t="s">
        <v>2264</v>
      </c>
      <c r="F12" s="54" t="s">
        <v>2265</v>
      </c>
      <c r="G12" s="54" t="s">
        <v>2266</v>
      </c>
      <c r="H12" s="54" t="s">
        <v>2267</v>
      </c>
      <c r="I12" s="54" t="s">
        <v>2268</v>
      </c>
      <c r="J12" s="54" t="s">
        <v>2269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52" t="str">
        <f t="shared" si="1"/>
        <v>012</v>
      </c>
      <c r="B13" s="53" t="s">
        <v>109</v>
      </c>
      <c r="C13" s="54" t="s">
        <v>2192</v>
      </c>
      <c r="D13" s="54" t="s">
        <v>2270</v>
      </c>
      <c r="E13" s="54" t="s">
        <v>2271</v>
      </c>
      <c r="F13" s="54" t="s">
        <v>2272</v>
      </c>
      <c r="G13" s="54" t="s">
        <v>2273</v>
      </c>
      <c r="H13" s="54" t="s">
        <v>2274</v>
      </c>
      <c r="I13" s="54" t="s">
        <v>2275</v>
      </c>
      <c r="J13" s="54" t="s">
        <v>2276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52" t="str">
        <f t="shared" si="1"/>
        <v>013</v>
      </c>
      <c r="B14" s="53" t="s">
        <v>111</v>
      </c>
      <c r="C14" s="54" t="s">
        <v>2192</v>
      </c>
      <c r="D14" s="54" t="s">
        <v>2277</v>
      </c>
      <c r="E14" s="54" t="s">
        <v>2278</v>
      </c>
      <c r="F14" s="54" t="s">
        <v>2279</v>
      </c>
      <c r="G14" s="54" t="s">
        <v>2280</v>
      </c>
      <c r="H14" s="54" t="s">
        <v>2281</v>
      </c>
      <c r="I14" s="54" t="s">
        <v>2282</v>
      </c>
      <c r="J14" s="54" t="s">
        <v>2283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52" t="str">
        <f t="shared" si="1"/>
        <v>014</v>
      </c>
      <c r="B15" s="53" t="s">
        <v>113</v>
      </c>
      <c r="C15" s="54" t="s">
        <v>2192</v>
      </c>
      <c r="D15" s="54" t="s">
        <v>2284</v>
      </c>
      <c r="E15" s="54" t="s">
        <v>2285</v>
      </c>
      <c r="F15" s="54" t="s">
        <v>2286</v>
      </c>
      <c r="G15" s="54" t="s">
        <v>2287</v>
      </c>
      <c r="H15" s="54" t="s">
        <v>2288</v>
      </c>
      <c r="I15" s="54" t="s">
        <v>2289</v>
      </c>
      <c r="J15" s="54" t="s">
        <v>2290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52" t="str">
        <f t="shared" si="1"/>
        <v>015</v>
      </c>
      <c r="B16" s="53" t="s">
        <v>117</v>
      </c>
      <c r="C16" s="54" t="s">
        <v>2291</v>
      </c>
      <c r="D16" s="54" t="s">
        <v>2292</v>
      </c>
      <c r="E16" s="54" t="s">
        <v>2293</v>
      </c>
      <c r="F16" s="54" t="s">
        <v>2294</v>
      </c>
      <c r="G16" s="54" t="s">
        <v>2295</v>
      </c>
      <c r="H16" s="54" t="s">
        <v>2296</v>
      </c>
      <c r="I16" s="54" t="s">
        <v>2297</v>
      </c>
      <c r="J16" s="54" t="s">
        <v>2298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52" t="str">
        <f t="shared" si="1"/>
        <v>016</v>
      </c>
      <c r="B17" s="53" t="s">
        <v>128</v>
      </c>
      <c r="C17" s="54" t="s">
        <v>2291</v>
      </c>
      <c r="D17" s="54" t="s">
        <v>2299</v>
      </c>
      <c r="E17" s="54" t="s">
        <v>2300</v>
      </c>
      <c r="F17" s="54" t="s">
        <v>2301</v>
      </c>
      <c r="G17" s="54" t="s">
        <v>2302</v>
      </c>
      <c r="H17" s="54" t="s">
        <v>2303</v>
      </c>
      <c r="I17" s="54" t="s">
        <v>2304</v>
      </c>
      <c r="J17" s="54" t="s">
        <v>2305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52" t="str">
        <f t="shared" si="1"/>
        <v>017</v>
      </c>
      <c r="B18" s="53" t="s">
        <v>134</v>
      </c>
      <c r="C18" s="54" t="s">
        <v>2291</v>
      </c>
      <c r="D18" s="54" t="s">
        <v>2306</v>
      </c>
      <c r="E18" s="54" t="s">
        <v>2307</v>
      </c>
      <c r="F18" s="54" t="s">
        <v>2308</v>
      </c>
      <c r="G18" s="54" t="s">
        <v>2309</v>
      </c>
      <c r="H18" s="54" t="s">
        <v>2310</v>
      </c>
      <c r="I18" s="54" t="s">
        <v>2311</v>
      </c>
      <c r="J18" s="54" t="s">
        <v>2312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52" t="str">
        <f t="shared" si="1"/>
        <v>018</v>
      </c>
      <c r="B19" s="53" t="s">
        <v>138</v>
      </c>
      <c r="C19" s="54" t="s">
        <v>2291</v>
      </c>
      <c r="D19" s="54" t="s">
        <v>2313</v>
      </c>
      <c r="E19" s="54" t="s">
        <v>2314</v>
      </c>
      <c r="F19" s="54" t="s">
        <v>2315</v>
      </c>
      <c r="G19" s="54" t="s">
        <v>2316</v>
      </c>
      <c r="H19" s="54" t="s">
        <v>2317</v>
      </c>
      <c r="I19" s="54" t="s">
        <v>2318</v>
      </c>
      <c r="J19" s="54" t="s">
        <v>2319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52" t="str">
        <f t="shared" si="1"/>
        <v>019</v>
      </c>
      <c r="B20" s="53" t="s">
        <v>140</v>
      </c>
      <c r="C20" s="54" t="s">
        <v>2291</v>
      </c>
      <c r="D20" s="54" t="s">
        <v>2320</v>
      </c>
      <c r="E20" s="54" t="s">
        <v>2321</v>
      </c>
      <c r="F20" s="54" t="s">
        <v>2322</v>
      </c>
      <c r="G20" s="54" t="s">
        <v>2323</v>
      </c>
      <c r="H20" s="54" t="s">
        <v>2324</v>
      </c>
      <c r="I20" s="54" t="s">
        <v>2325</v>
      </c>
      <c r="J20" s="54" t="s">
        <v>2326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52" t="str">
        <f t="shared" si="1"/>
        <v>020</v>
      </c>
      <c r="B21" s="53" t="s">
        <v>145</v>
      </c>
      <c r="C21" s="54" t="s">
        <v>2291</v>
      </c>
      <c r="D21" s="54" t="s">
        <v>2327</v>
      </c>
      <c r="E21" s="54" t="s">
        <v>2328</v>
      </c>
      <c r="F21" s="54" t="s">
        <v>2329</v>
      </c>
      <c r="G21" s="54" t="s">
        <v>2330</v>
      </c>
      <c r="H21" s="54" t="s">
        <v>2331</v>
      </c>
      <c r="I21" s="54" t="s">
        <v>2332</v>
      </c>
      <c r="J21" s="54" t="s">
        <v>2333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52" t="str">
        <f t="shared" si="1"/>
        <v>021</v>
      </c>
      <c r="B22" s="53" t="s">
        <v>148</v>
      </c>
      <c r="C22" s="54" t="s">
        <v>2291</v>
      </c>
      <c r="D22" s="54" t="s">
        <v>2334</v>
      </c>
      <c r="E22" s="54" t="s">
        <v>2335</v>
      </c>
      <c r="F22" s="54" t="s">
        <v>2336</v>
      </c>
      <c r="G22" s="54" t="s">
        <v>2337</v>
      </c>
      <c r="H22" s="54" t="s">
        <v>2338</v>
      </c>
      <c r="I22" s="54" t="s">
        <v>2339</v>
      </c>
      <c r="J22" s="54" t="s">
        <v>2340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52" t="str">
        <f t="shared" si="1"/>
        <v>022</v>
      </c>
      <c r="B23" s="53" t="s">
        <v>150</v>
      </c>
      <c r="C23" s="54" t="s">
        <v>2291</v>
      </c>
      <c r="D23" s="54" t="s">
        <v>2341</v>
      </c>
      <c r="E23" s="54" t="s">
        <v>2342</v>
      </c>
      <c r="F23" s="54" t="s">
        <v>2343</v>
      </c>
      <c r="G23" s="54" t="s">
        <v>2344</v>
      </c>
      <c r="H23" s="54" t="s">
        <v>2345</v>
      </c>
      <c r="I23" s="54" t="s">
        <v>2346</v>
      </c>
      <c r="J23" s="54" t="s">
        <v>2347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52" t="str">
        <f t="shared" si="1"/>
        <v>023</v>
      </c>
      <c r="B24" s="53" t="s">
        <v>152</v>
      </c>
      <c r="C24" s="54" t="s">
        <v>2291</v>
      </c>
      <c r="D24" s="54" t="s">
        <v>2348</v>
      </c>
      <c r="E24" s="54" t="s">
        <v>2349</v>
      </c>
      <c r="F24" s="54" t="s">
        <v>2350</v>
      </c>
      <c r="G24" s="54" t="s">
        <v>2351</v>
      </c>
      <c r="H24" s="54" t="s">
        <v>2352</v>
      </c>
      <c r="I24" s="54" t="s">
        <v>2353</v>
      </c>
      <c r="J24" s="54" t="s">
        <v>2354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52" t="str">
        <f t="shared" si="1"/>
        <v>024</v>
      </c>
      <c r="B25" s="53" t="s">
        <v>155</v>
      </c>
      <c r="C25" s="54" t="s">
        <v>2291</v>
      </c>
      <c r="D25" s="54" t="s">
        <v>2355</v>
      </c>
      <c r="E25" s="54" t="s">
        <v>2356</v>
      </c>
      <c r="F25" s="54" t="s">
        <v>2357</v>
      </c>
      <c r="G25" s="54" t="s">
        <v>2358</v>
      </c>
      <c r="H25" s="54" t="s">
        <v>2359</v>
      </c>
      <c r="I25" s="54" t="s">
        <v>2360</v>
      </c>
      <c r="J25" s="54" t="s">
        <v>2361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52" t="str">
        <f t="shared" si="1"/>
        <v>025</v>
      </c>
      <c r="B26" s="53" t="s">
        <v>158</v>
      </c>
      <c r="C26" s="54" t="s">
        <v>2291</v>
      </c>
      <c r="D26" s="54" t="s">
        <v>2362</v>
      </c>
      <c r="E26" s="54" t="s">
        <v>2363</v>
      </c>
      <c r="F26" s="54" t="s">
        <v>2364</v>
      </c>
      <c r="G26" s="54" t="s">
        <v>2365</v>
      </c>
      <c r="H26" s="54" t="s">
        <v>2366</v>
      </c>
      <c r="I26" s="54" t="s">
        <v>2367</v>
      </c>
      <c r="J26" s="54" t="s">
        <v>2368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52" t="str">
        <f t="shared" si="1"/>
        <v>026</v>
      </c>
      <c r="B27" s="53" t="s">
        <v>160</v>
      </c>
      <c r="C27" s="54" t="s">
        <v>2291</v>
      </c>
      <c r="D27" s="54" t="s">
        <v>2369</v>
      </c>
      <c r="E27" s="54" t="s">
        <v>2370</v>
      </c>
      <c r="F27" s="54" t="s">
        <v>2371</v>
      </c>
      <c r="G27" s="54" t="s">
        <v>2372</v>
      </c>
      <c r="H27" s="54" t="s">
        <v>2310</v>
      </c>
      <c r="I27" s="54" t="s">
        <v>2373</v>
      </c>
      <c r="J27" s="54" t="s">
        <v>2374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52" t="str">
        <f t="shared" si="1"/>
        <v>027</v>
      </c>
      <c r="B28" s="53" t="s">
        <v>162</v>
      </c>
      <c r="C28" s="54" t="s">
        <v>2375</v>
      </c>
      <c r="D28" s="54" t="s">
        <v>2376</v>
      </c>
      <c r="E28" s="54" t="s">
        <v>2377</v>
      </c>
      <c r="F28" s="54" t="s">
        <v>2378</v>
      </c>
      <c r="G28" s="54" t="s">
        <v>2379</v>
      </c>
      <c r="H28" s="54" t="s">
        <v>2380</v>
      </c>
      <c r="I28" s="54" t="s">
        <v>2381</v>
      </c>
      <c r="J28" s="54" t="s">
        <v>2382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52" t="str">
        <f t="shared" si="1"/>
        <v>028</v>
      </c>
      <c r="B29" s="53" t="s">
        <v>175</v>
      </c>
      <c r="C29" s="54" t="s">
        <v>2375</v>
      </c>
      <c r="D29" s="54" t="s">
        <v>2383</v>
      </c>
      <c r="E29" s="54" t="s">
        <v>2384</v>
      </c>
      <c r="F29" s="54" t="s">
        <v>2385</v>
      </c>
      <c r="G29" s="54" t="s">
        <v>2386</v>
      </c>
      <c r="H29" s="54" t="s">
        <v>2387</v>
      </c>
      <c r="I29" s="54" t="s">
        <v>2388</v>
      </c>
      <c r="J29" s="54" t="s">
        <v>2389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52" t="str">
        <f t="shared" si="1"/>
        <v>029</v>
      </c>
      <c r="B30" s="53" t="s">
        <v>181</v>
      </c>
      <c r="C30" s="54" t="s">
        <v>2375</v>
      </c>
      <c r="D30" s="54" t="s">
        <v>2390</v>
      </c>
      <c r="E30" s="54" t="s">
        <v>2391</v>
      </c>
      <c r="F30" s="54" t="s">
        <v>2357</v>
      </c>
      <c r="G30" s="54" t="s">
        <v>2392</v>
      </c>
      <c r="H30" s="54" t="s">
        <v>2359</v>
      </c>
      <c r="I30" s="54" t="s">
        <v>2393</v>
      </c>
      <c r="J30" s="54" t="s">
        <v>2394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52" t="str">
        <f t="shared" si="1"/>
        <v>030</v>
      </c>
      <c r="B31" s="53" t="s">
        <v>184</v>
      </c>
      <c r="C31" s="54" t="s">
        <v>2375</v>
      </c>
      <c r="D31" s="54" t="s">
        <v>2395</v>
      </c>
      <c r="E31" s="54" t="s">
        <v>2396</v>
      </c>
      <c r="F31" s="54" t="s">
        <v>2397</v>
      </c>
      <c r="G31" s="54" t="s">
        <v>2398</v>
      </c>
      <c r="H31" s="54" t="s">
        <v>2399</v>
      </c>
      <c r="I31" s="54" t="s">
        <v>2400</v>
      </c>
      <c r="J31" s="54" t="s">
        <v>2401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52" t="str">
        <f t="shared" si="1"/>
        <v>031</v>
      </c>
      <c r="B32" s="53" t="s">
        <v>187</v>
      </c>
      <c r="C32" s="54" t="s">
        <v>2375</v>
      </c>
      <c r="D32" s="54" t="s">
        <v>2402</v>
      </c>
      <c r="E32" s="54" t="s">
        <v>2403</v>
      </c>
      <c r="F32" s="54" t="s">
        <v>2404</v>
      </c>
      <c r="G32" s="54" t="s">
        <v>2405</v>
      </c>
      <c r="H32" s="54" t="s">
        <v>2406</v>
      </c>
      <c r="I32" s="54" t="s">
        <v>2407</v>
      </c>
      <c r="J32" s="54" t="s">
        <v>2408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52" t="str">
        <f t="shared" si="1"/>
        <v>032</v>
      </c>
      <c r="B33" s="53" t="s">
        <v>190</v>
      </c>
      <c r="C33" s="54" t="s">
        <v>2375</v>
      </c>
      <c r="D33" s="54" t="s">
        <v>2409</v>
      </c>
      <c r="E33" s="54" t="s">
        <v>2410</v>
      </c>
      <c r="F33" s="54" t="s">
        <v>2350</v>
      </c>
      <c r="G33" s="54" t="s">
        <v>2411</v>
      </c>
      <c r="H33" s="54" t="s">
        <v>2412</v>
      </c>
      <c r="I33" s="54" t="s">
        <v>2413</v>
      </c>
      <c r="J33" s="54" t="s">
        <v>2414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52" t="str">
        <f t="shared" si="1"/>
        <v>033</v>
      </c>
      <c r="B34" s="53" t="s">
        <v>193</v>
      </c>
      <c r="C34" s="54" t="s">
        <v>2375</v>
      </c>
      <c r="D34" s="54" t="s">
        <v>2415</v>
      </c>
      <c r="E34" s="54" t="s">
        <v>2416</v>
      </c>
      <c r="F34" s="54" t="s">
        <v>2417</v>
      </c>
      <c r="G34" s="54" t="s">
        <v>2418</v>
      </c>
      <c r="H34" s="54" t="s">
        <v>2419</v>
      </c>
      <c r="I34" s="54" t="s">
        <v>2420</v>
      </c>
      <c r="J34" s="54" t="s">
        <v>2421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52" t="str">
        <f t="shared" si="1"/>
        <v>034</v>
      </c>
      <c r="B35" s="53" t="s">
        <v>195</v>
      </c>
      <c r="C35" s="54" t="s">
        <v>2375</v>
      </c>
      <c r="D35" s="54" t="s">
        <v>2422</v>
      </c>
      <c r="E35" s="54" t="s">
        <v>2423</v>
      </c>
      <c r="F35" s="54" t="s">
        <v>2424</v>
      </c>
      <c r="G35" s="54" t="s">
        <v>2425</v>
      </c>
      <c r="H35" s="54" t="s">
        <v>2426</v>
      </c>
      <c r="I35" s="54" t="s">
        <v>2427</v>
      </c>
      <c r="J35" s="54" t="s">
        <v>2428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52" t="str">
        <f t="shared" si="1"/>
        <v>035</v>
      </c>
      <c r="B36" s="53" t="s">
        <v>197</v>
      </c>
      <c r="C36" s="54" t="s">
        <v>2375</v>
      </c>
      <c r="D36" s="54" t="s">
        <v>2429</v>
      </c>
      <c r="E36" s="54" t="s">
        <v>2430</v>
      </c>
      <c r="F36" s="54" t="s">
        <v>2431</v>
      </c>
      <c r="G36" s="54" t="s">
        <v>2432</v>
      </c>
      <c r="H36" s="54" t="s">
        <v>2433</v>
      </c>
      <c r="I36" s="54" t="s">
        <v>2434</v>
      </c>
      <c r="J36" s="54" t="s">
        <v>2435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52" t="str">
        <f t="shared" si="1"/>
        <v>036</v>
      </c>
      <c r="B37" s="53" t="s">
        <v>199</v>
      </c>
      <c r="C37" s="54" t="s">
        <v>2375</v>
      </c>
      <c r="D37" s="54" t="s">
        <v>2436</v>
      </c>
      <c r="E37" s="54" t="s">
        <v>2437</v>
      </c>
      <c r="F37" s="54" t="s">
        <v>2438</v>
      </c>
      <c r="G37" s="54" t="s">
        <v>2439</v>
      </c>
      <c r="H37" s="54" t="s">
        <v>2440</v>
      </c>
      <c r="I37" s="54" t="s">
        <v>2441</v>
      </c>
      <c r="J37" s="54" t="s">
        <v>2442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52" t="str">
        <f t="shared" si="1"/>
        <v>037</v>
      </c>
      <c r="B38" s="53" t="s">
        <v>201</v>
      </c>
      <c r="C38" s="54" t="s">
        <v>2375</v>
      </c>
      <c r="D38" s="54" t="s">
        <v>2443</v>
      </c>
      <c r="E38" s="54" t="s">
        <v>2444</v>
      </c>
      <c r="F38" s="54" t="s">
        <v>2445</v>
      </c>
      <c r="G38" s="54" t="s">
        <v>2446</v>
      </c>
      <c r="H38" s="54" t="s">
        <v>2447</v>
      </c>
      <c r="I38" s="54" t="s">
        <v>2448</v>
      </c>
      <c r="J38" s="54" t="s">
        <v>2449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52" t="str">
        <f t="shared" si="1"/>
        <v>038</v>
      </c>
      <c r="B39" s="53" t="s">
        <v>203</v>
      </c>
      <c r="C39" s="54" t="s">
        <v>2375</v>
      </c>
      <c r="D39" s="54" t="s">
        <v>2450</v>
      </c>
      <c r="E39" s="54" t="s">
        <v>2451</v>
      </c>
      <c r="F39" s="54" t="s">
        <v>2452</v>
      </c>
      <c r="G39" s="54" t="s">
        <v>2453</v>
      </c>
      <c r="H39" s="54" t="s">
        <v>2454</v>
      </c>
      <c r="I39" s="54" t="s">
        <v>2455</v>
      </c>
      <c r="J39" s="54" t="s">
        <v>2456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52" t="str">
        <f t="shared" si="1"/>
        <v>039</v>
      </c>
      <c r="B40" s="53" t="s">
        <v>205</v>
      </c>
      <c r="C40" s="54" t="s">
        <v>2457</v>
      </c>
      <c r="D40" s="54" t="s">
        <v>2458</v>
      </c>
      <c r="E40" s="54" t="s">
        <v>2459</v>
      </c>
      <c r="F40" s="54" t="s">
        <v>2460</v>
      </c>
      <c r="G40" s="54" t="s">
        <v>2461</v>
      </c>
      <c r="H40" s="54" t="s">
        <v>2462</v>
      </c>
      <c r="I40" s="54" t="s">
        <v>2463</v>
      </c>
      <c r="J40" s="54" t="s">
        <v>2464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52" t="str">
        <f t="shared" si="1"/>
        <v>040</v>
      </c>
      <c r="B41" s="53" t="s">
        <v>217</v>
      </c>
      <c r="C41" s="54" t="s">
        <v>2457</v>
      </c>
      <c r="D41" s="54" t="s">
        <v>2465</v>
      </c>
      <c r="E41" s="54" t="s">
        <v>2466</v>
      </c>
      <c r="F41" s="54" t="s">
        <v>2467</v>
      </c>
      <c r="G41" s="54" t="s">
        <v>2468</v>
      </c>
      <c r="H41" s="54" t="s">
        <v>2399</v>
      </c>
      <c r="I41" s="54" t="s">
        <v>2469</v>
      </c>
      <c r="J41" s="54" t="s">
        <v>2470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52" t="str">
        <f t="shared" si="1"/>
        <v>041</v>
      </c>
      <c r="B42" s="53" t="s">
        <v>221</v>
      </c>
      <c r="C42" s="54" t="s">
        <v>2457</v>
      </c>
      <c r="D42" s="54" t="s">
        <v>2471</v>
      </c>
      <c r="E42" s="54" t="s">
        <v>2472</v>
      </c>
      <c r="F42" s="54" t="s">
        <v>2473</v>
      </c>
      <c r="G42" s="54" t="s">
        <v>2474</v>
      </c>
      <c r="H42" s="54" t="s">
        <v>2475</v>
      </c>
      <c r="I42" s="54" t="s">
        <v>2476</v>
      </c>
      <c r="J42" s="54" t="s">
        <v>2477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52" t="str">
        <f t="shared" si="1"/>
        <v>042</v>
      </c>
      <c r="B43" s="53" t="s">
        <v>225</v>
      </c>
      <c r="C43" s="54" t="s">
        <v>2457</v>
      </c>
      <c r="D43" s="54" t="s">
        <v>2478</v>
      </c>
      <c r="E43" s="54" t="s">
        <v>2479</v>
      </c>
      <c r="F43" s="54" t="s">
        <v>2460</v>
      </c>
      <c r="G43" s="54" t="s">
        <v>2480</v>
      </c>
      <c r="H43" s="54" t="s">
        <v>2481</v>
      </c>
      <c r="I43" s="54" t="s">
        <v>2482</v>
      </c>
      <c r="J43" s="54" t="s">
        <v>2483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52" t="str">
        <f t="shared" si="1"/>
        <v>043</v>
      </c>
      <c r="B44" s="53" t="s">
        <v>228</v>
      </c>
      <c r="C44" s="54" t="s">
        <v>2457</v>
      </c>
      <c r="D44" s="54" t="s">
        <v>2484</v>
      </c>
      <c r="E44" s="54" t="s">
        <v>2485</v>
      </c>
      <c r="F44" s="54" t="s">
        <v>2486</v>
      </c>
      <c r="G44" s="54" t="s">
        <v>2487</v>
      </c>
      <c r="H44" s="54" t="s">
        <v>2488</v>
      </c>
      <c r="I44" s="54" t="s">
        <v>2489</v>
      </c>
      <c r="J44" s="54" t="s">
        <v>2490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52" t="str">
        <f t="shared" si="1"/>
        <v>044</v>
      </c>
      <c r="B45" s="53" t="s">
        <v>230</v>
      </c>
      <c r="C45" s="54" t="s">
        <v>2457</v>
      </c>
      <c r="D45" s="54" t="s">
        <v>2491</v>
      </c>
      <c r="E45" s="54" t="s">
        <v>2492</v>
      </c>
      <c r="F45" s="54" t="s">
        <v>2493</v>
      </c>
      <c r="G45" s="54" t="s">
        <v>2494</v>
      </c>
      <c r="H45" s="54" t="s">
        <v>2495</v>
      </c>
      <c r="I45" s="54" t="s">
        <v>2496</v>
      </c>
      <c r="J45" s="54" t="s">
        <v>2497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52" t="str">
        <f t="shared" si="1"/>
        <v>045</v>
      </c>
      <c r="B46" s="53" t="s">
        <v>233</v>
      </c>
      <c r="C46" s="54" t="s">
        <v>2457</v>
      </c>
      <c r="D46" s="54" t="s">
        <v>2498</v>
      </c>
      <c r="E46" s="54" t="s">
        <v>2499</v>
      </c>
      <c r="F46" s="54" t="s">
        <v>2500</v>
      </c>
      <c r="G46" s="54" t="s">
        <v>2501</v>
      </c>
      <c r="H46" s="54" t="s">
        <v>2502</v>
      </c>
      <c r="I46" s="54" t="s">
        <v>2503</v>
      </c>
      <c r="J46" s="54" t="s">
        <v>2504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52" t="str">
        <f t="shared" si="1"/>
        <v>046</v>
      </c>
      <c r="B47" s="53" t="s">
        <v>235</v>
      </c>
      <c r="C47" s="54" t="s">
        <v>2457</v>
      </c>
      <c r="D47" s="54" t="s">
        <v>2505</v>
      </c>
      <c r="E47" s="54" t="s">
        <v>2506</v>
      </c>
      <c r="F47" s="54" t="s">
        <v>2507</v>
      </c>
      <c r="G47" s="54" t="s">
        <v>2508</v>
      </c>
      <c r="H47" s="54" t="s">
        <v>2509</v>
      </c>
      <c r="I47" s="54" t="s">
        <v>2510</v>
      </c>
      <c r="J47" s="54" t="s">
        <v>2511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52" t="str">
        <f t="shared" si="1"/>
        <v>047</v>
      </c>
      <c r="B48" s="53" t="s">
        <v>237</v>
      </c>
      <c r="C48" s="54" t="s">
        <v>2457</v>
      </c>
      <c r="D48" s="54" t="s">
        <v>2512</v>
      </c>
      <c r="E48" s="54" t="s">
        <v>2513</v>
      </c>
      <c r="F48" s="54" t="s">
        <v>2514</v>
      </c>
      <c r="G48" s="54" t="s">
        <v>2515</v>
      </c>
      <c r="H48" s="54" t="s">
        <v>2516</v>
      </c>
      <c r="I48" s="54" t="s">
        <v>2517</v>
      </c>
      <c r="J48" s="54" t="s">
        <v>2518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52" t="str">
        <f t="shared" si="1"/>
        <v>048</v>
      </c>
      <c r="B49" s="53" t="s">
        <v>239</v>
      </c>
      <c r="C49" s="54" t="s">
        <v>2457</v>
      </c>
      <c r="D49" s="54" t="s">
        <v>2519</v>
      </c>
      <c r="E49" s="54" t="s">
        <v>2520</v>
      </c>
      <c r="F49" s="54" t="s">
        <v>2521</v>
      </c>
      <c r="G49" s="54" t="s">
        <v>2522</v>
      </c>
      <c r="H49" s="54" t="s">
        <v>2523</v>
      </c>
      <c r="I49" s="54" t="s">
        <v>2524</v>
      </c>
      <c r="J49" s="54" t="s">
        <v>2525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52" t="str">
        <f t="shared" si="1"/>
        <v>049</v>
      </c>
      <c r="B50" s="53" t="s">
        <v>241</v>
      </c>
      <c r="C50" s="54" t="s">
        <v>2457</v>
      </c>
      <c r="D50" s="54" t="s">
        <v>2526</v>
      </c>
      <c r="E50" s="54" t="s">
        <v>2527</v>
      </c>
      <c r="F50" s="54" t="s">
        <v>2528</v>
      </c>
      <c r="G50" s="54" t="s">
        <v>2529</v>
      </c>
      <c r="H50" s="54" t="s">
        <v>2530</v>
      </c>
      <c r="I50" s="54" t="s">
        <v>2531</v>
      </c>
      <c r="J50" s="54" t="s">
        <v>2532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52" t="str">
        <f t="shared" si="1"/>
        <v>050</v>
      </c>
      <c r="B51" s="53" t="s">
        <v>243</v>
      </c>
      <c r="C51" s="54" t="s">
        <v>2457</v>
      </c>
      <c r="D51" s="54" t="s">
        <v>2533</v>
      </c>
      <c r="E51" s="54" t="s">
        <v>2534</v>
      </c>
      <c r="F51" s="54" t="s">
        <v>2535</v>
      </c>
      <c r="G51" s="54" t="s">
        <v>2536</v>
      </c>
      <c r="H51" s="54" t="s">
        <v>2537</v>
      </c>
      <c r="I51" s="54" t="s">
        <v>2538</v>
      </c>
      <c r="J51" s="54" t="s">
        <v>2539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52" t="str">
        <f t="shared" si="1"/>
        <v>051</v>
      </c>
      <c r="B52" s="53" t="s">
        <v>245</v>
      </c>
      <c r="C52" s="54" t="s">
        <v>247</v>
      </c>
      <c r="D52" s="54" t="s">
        <v>2540</v>
      </c>
      <c r="E52" s="54" t="s">
        <v>2541</v>
      </c>
      <c r="F52" s="54" t="s">
        <v>2542</v>
      </c>
      <c r="G52" s="54" t="s">
        <v>2543</v>
      </c>
      <c r="H52" s="54" t="s">
        <v>2544</v>
      </c>
      <c r="I52" s="54" t="s">
        <v>2545</v>
      </c>
      <c r="J52" s="54" t="s">
        <v>2546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52" t="str">
        <f t="shared" si="1"/>
        <v>052</v>
      </c>
      <c r="B53" s="53" t="s">
        <v>254</v>
      </c>
      <c r="C53" s="54" t="s">
        <v>247</v>
      </c>
      <c r="D53" s="54" t="s">
        <v>2547</v>
      </c>
      <c r="E53" s="54" t="s">
        <v>2548</v>
      </c>
      <c r="F53" s="54" t="s">
        <v>2549</v>
      </c>
      <c r="G53" s="54" t="s">
        <v>2550</v>
      </c>
      <c r="H53" s="54" t="s">
        <v>2551</v>
      </c>
      <c r="I53" s="54" t="s">
        <v>2552</v>
      </c>
      <c r="J53" s="54" t="s">
        <v>2553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52" t="str">
        <f t="shared" si="1"/>
        <v>053</v>
      </c>
      <c r="B54" s="53" t="s">
        <v>257</v>
      </c>
      <c r="C54" s="54" t="s">
        <v>247</v>
      </c>
      <c r="D54" s="54" t="s">
        <v>2554</v>
      </c>
      <c r="E54" s="54" t="s">
        <v>2555</v>
      </c>
      <c r="F54" s="54" t="s">
        <v>2556</v>
      </c>
      <c r="G54" s="54" t="s">
        <v>2557</v>
      </c>
      <c r="H54" s="54" t="s">
        <v>2558</v>
      </c>
      <c r="I54" s="54" t="s">
        <v>2559</v>
      </c>
      <c r="J54" s="54" t="s">
        <v>2560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52" t="str">
        <f t="shared" si="1"/>
        <v>054</v>
      </c>
      <c r="B55" s="53" t="s">
        <v>259</v>
      </c>
      <c r="C55" s="54" t="s">
        <v>247</v>
      </c>
      <c r="D55" s="54" t="s">
        <v>2561</v>
      </c>
      <c r="E55" s="54" t="s">
        <v>2562</v>
      </c>
      <c r="F55" s="54" t="s">
        <v>2563</v>
      </c>
      <c r="G55" s="54" t="s">
        <v>2564</v>
      </c>
      <c r="H55" s="54" t="s">
        <v>2565</v>
      </c>
      <c r="I55" s="54" t="s">
        <v>2566</v>
      </c>
      <c r="J55" s="54" t="s">
        <v>2567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52" t="str">
        <f t="shared" si="1"/>
        <v>055</v>
      </c>
      <c r="B56" s="53" t="s">
        <v>262</v>
      </c>
      <c r="C56" s="54" t="s">
        <v>247</v>
      </c>
      <c r="D56" s="54" t="s">
        <v>2568</v>
      </c>
      <c r="E56" s="54" t="s">
        <v>2569</v>
      </c>
      <c r="F56" s="54" t="s">
        <v>2570</v>
      </c>
      <c r="G56" s="54" t="s">
        <v>2571</v>
      </c>
      <c r="H56" s="54" t="s">
        <v>2565</v>
      </c>
      <c r="I56" s="54" t="s">
        <v>2572</v>
      </c>
      <c r="J56" s="54" t="s">
        <v>2573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52" t="str">
        <f t="shared" si="1"/>
        <v>056</v>
      </c>
      <c r="B57" s="53" t="s">
        <v>264</v>
      </c>
      <c r="C57" s="54" t="s">
        <v>247</v>
      </c>
      <c r="D57" s="54" t="s">
        <v>2574</v>
      </c>
      <c r="E57" s="54" t="s">
        <v>2575</v>
      </c>
      <c r="F57" s="54" t="s">
        <v>2576</v>
      </c>
      <c r="G57" s="54" t="s">
        <v>2577</v>
      </c>
      <c r="H57" s="54" t="s">
        <v>2578</v>
      </c>
      <c r="I57" s="54" t="s">
        <v>2579</v>
      </c>
      <c r="J57" s="54" t="s">
        <v>2580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52" t="str">
        <f t="shared" si="1"/>
        <v>057</v>
      </c>
      <c r="B58" s="53" t="s">
        <v>269</v>
      </c>
      <c r="C58" s="54" t="s">
        <v>247</v>
      </c>
      <c r="D58" s="54" t="s">
        <v>2581</v>
      </c>
      <c r="E58" s="54" t="s">
        <v>2582</v>
      </c>
      <c r="F58" s="54" t="s">
        <v>2583</v>
      </c>
      <c r="G58" s="54" t="s">
        <v>2584</v>
      </c>
      <c r="H58" s="54" t="s">
        <v>2585</v>
      </c>
      <c r="I58" s="54" t="s">
        <v>2586</v>
      </c>
      <c r="J58" s="54" t="s">
        <v>2587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52" t="str">
        <f t="shared" si="1"/>
        <v>058</v>
      </c>
      <c r="B59" s="53" t="s">
        <v>272</v>
      </c>
      <c r="C59" s="54" t="s">
        <v>247</v>
      </c>
      <c r="D59" s="54" t="s">
        <v>2588</v>
      </c>
      <c r="E59" s="54" t="s">
        <v>2589</v>
      </c>
      <c r="F59" s="54" t="s">
        <v>2590</v>
      </c>
      <c r="G59" s="54" t="s">
        <v>2591</v>
      </c>
      <c r="H59" s="54" t="s">
        <v>2592</v>
      </c>
      <c r="I59" s="54" t="s">
        <v>2593</v>
      </c>
      <c r="J59" s="54" t="s">
        <v>2594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52" t="str">
        <f t="shared" si="1"/>
        <v>059</v>
      </c>
      <c r="B60" s="53" t="s">
        <v>274</v>
      </c>
      <c r="C60" s="54" t="s">
        <v>247</v>
      </c>
      <c r="D60" s="54" t="s">
        <v>2595</v>
      </c>
      <c r="E60" s="54" t="s">
        <v>2596</v>
      </c>
      <c r="F60" s="54" t="s">
        <v>2597</v>
      </c>
      <c r="G60" s="54" t="s">
        <v>2598</v>
      </c>
      <c r="H60" s="54" t="s">
        <v>2599</v>
      </c>
      <c r="I60" s="54" t="s">
        <v>2600</v>
      </c>
      <c r="J60" s="54" t="s">
        <v>2601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52" t="str">
        <f t="shared" si="1"/>
        <v>060</v>
      </c>
      <c r="B61" s="53" t="s">
        <v>276</v>
      </c>
      <c r="C61" s="54" t="s">
        <v>2602</v>
      </c>
      <c r="D61" s="54" t="s">
        <v>2603</v>
      </c>
      <c r="E61" s="54" t="s">
        <v>2604</v>
      </c>
      <c r="F61" s="54" t="s">
        <v>2605</v>
      </c>
      <c r="G61" s="54" t="s">
        <v>2606</v>
      </c>
      <c r="H61" s="54" t="s">
        <v>2607</v>
      </c>
      <c r="I61" s="54" t="s">
        <v>2608</v>
      </c>
      <c r="J61" s="54" t="s">
        <v>2609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52" t="str">
        <f t="shared" si="1"/>
        <v>061</v>
      </c>
      <c r="B62" s="53" t="s">
        <v>288</v>
      </c>
      <c r="C62" s="54" t="s">
        <v>2602</v>
      </c>
      <c r="D62" s="54" t="s">
        <v>2610</v>
      </c>
      <c r="E62" s="54" t="s">
        <v>2611</v>
      </c>
      <c r="F62" s="54" t="s">
        <v>2612</v>
      </c>
      <c r="G62" s="54" t="s">
        <v>2613</v>
      </c>
      <c r="H62" s="54" t="s">
        <v>2614</v>
      </c>
      <c r="I62" s="54" t="s">
        <v>2615</v>
      </c>
      <c r="J62" s="54" t="s">
        <v>2616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52" t="str">
        <f t="shared" si="1"/>
        <v>062</v>
      </c>
      <c r="B63" s="53" t="s">
        <v>292</v>
      </c>
      <c r="C63" s="54" t="s">
        <v>2602</v>
      </c>
      <c r="D63" s="54" t="s">
        <v>2617</v>
      </c>
      <c r="E63" s="54" t="s">
        <v>2618</v>
      </c>
      <c r="F63" s="54" t="s">
        <v>2619</v>
      </c>
      <c r="G63" s="54" t="s">
        <v>2620</v>
      </c>
      <c r="H63" s="54" t="s">
        <v>2621</v>
      </c>
      <c r="I63" s="54" t="s">
        <v>2622</v>
      </c>
      <c r="J63" s="54" t="s">
        <v>2623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52" t="str">
        <f t="shared" si="1"/>
        <v>063</v>
      </c>
      <c r="B64" s="53" t="s">
        <v>295</v>
      </c>
      <c r="C64" s="54" t="s">
        <v>2602</v>
      </c>
      <c r="D64" s="54" t="s">
        <v>2624</v>
      </c>
      <c r="E64" s="54" t="s">
        <v>2625</v>
      </c>
      <c r="F64" s="54" t="s">
        <v>2486</v>
      </c>
      <c r="G64" s="54" t="s">
        <v>2626</v>
      </c>
      <c r="H64" s="54" t="s">
        <v>2627</v>
      </c>
      <c r="I64" s="54" t="s">
        <v>2628</v>
      </c>
      <c r="J64" s="54" t="s">
        <v>2629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52" t="str">
        <f t="shared" si="1"/>
        <v>064</v>
      </c>
      <c r="B65" s="53" t="s">
        <v>298</v>
      </c>
      <c r="C65" s="54" t="s">
        <v>2602</v>
      </c>
      <c r="D65" s="54" t="s">
        <v>2630</v>
      </c>
      <c r="E65" s="54" t="s">
        <v>2631</v>
      </c>
      <c r="F65" s="54" t="s">
        <v>2632</v>
      </c>
      <c r="G65" s="54" t="s">
        <v>2633</v>
      </c>
      <c r="H65" s="54" t="s">
        <v>2634</v>
      </c>
      <c r="I65" s="54" t="s">
        <v>2635</v>
      </c>
      <c r="J65" s="54" t="s">
        <v>2636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52" t="str">
        <f t="shared" si="1"/>
        <v>065</v>
      </c>
      <c r="B66" s="53" t="s">
        <v>300</v>
      </c>
      <c r="C66" s="54" t="s">
        <v>2602</v>
      </c>
      <c r="D66" s="54" t="s">
        <v>2637</v>
      </c>
      <c r="E66" s="54" t="s">
        <v>2638</v>
      </c>
      <c r="F66" s="54" t="s">
        <v>2639</v>
      </c>
      <c r="G66" s="54" t="s">
        <v>2640</v>
      </c>
      <c r="H66" s="54" t="s">
        <v>2641</v>
      </c>
      <c r="I66" s="54" t="s">
        <v>2642</v>
      </c>
      <c r="J66" s="54" t="s">
        <v>2643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52" t="str">
        <f t="shared" si="1"/>
        <v>066</v>
      </c>
      <c r="B67" s="53" t="s">
        <v>302</v>
      </c>
      <c r="C67" s="54" t="s">
        <v>2602</v>
      </c>
      <c r="D67" s="54" t="s">
        <v>2644</v>
      </c>
      <c r="E67" s="54" t="s">
        <v>2645</v>
      </c>
      <c r="F67" s="54" t="s">
        <v>2646</v>
      </c>
      <c r="G67" s="54" t="s">
        <v>2647</v>
      </c>
      <c r="H67" s="54" t="s">
        <v>2648</v>
      </c>
      <c r="I67" s="54" t="s">
        <v>2649</v>
      </c>
      <c r="J67" s="54" t="s">
        <v>2650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52" t="str">
        <f t="shared" si="1"/>
        <v>067</v>
      </c>
      <c r="B68" s="53" t="s">
        <v>304</v>
      </c>
      <c r="C68" s="54" t="s">
        <v>2602</v>
      </c>
      <c r="D68" s="54" t="s">
        <v>2651</v>
      </c>
      <c r="E68" s="54" t="s">
        <v>2652</v>
      </c>
      <c r="F68" s="54" t="s">
        <v>2653</v>
      </c>
      <c r="G68" s="54" t="s">
        <v>2654</v>
      </c>
      <c r="H68" s="54" t="s">
        <v>2655</v>
      </c>
      <c r="I68" s="54" t="s">
        <v>2656</v>
      </c>
      <c r="J68" s="54" t="s">
        <v>2657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52" t="str">
        <f t="shared" si="1"/>
        <v>068</v>
      </c>
      <c r="B69" s="53" t="s">
        <v>306</v>
      </c>
      <c r="C69" s="54" t="s">
        <v>2602</v>
      </c>
      <c r="D69" s="54" t="s">
        <v>2658</v>
      </c>
      <c r="E69" s="54" t="s">
        <v>2659</v>
      </c>
      <c r="F69" s="54" t="s">
        <v>2660</v>
      </c>
      <c r="G69" s="54" t="s">
        <v>2661</v>
      </c>
      <c r="H69" s="54" t="s">
        <v>2662</v>
      </c>
      <c r="I69" s="54" t="s">
        <v>2663</v>
      </c>
      <c r="J69" s="54" t="s">
        <v>2664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52" t="str">
        <f t="shared" si="1"/>
        <v>069</v>
      </c>
      <c r="B70" s="53" t="s">
        <v>308</v>
      </c>
      <c r="C70" s="54" t="s">
        <v>2602</v>
      </c>
      <c r="D70" s="54" t="s">
        <v>2665</v>
      </c>
      <c r="E70" s="54" t="s">
        <v>2666</v>
      </c>
      <c r="F70" s="54" t="s">
        <v>2667</v>
      </c>
      <c r="G70" s="54" t="s">
        <v>2668</v>
      </c>
      <c r="H70" s="54" t="s">
        <v>2669</v>
      </c>
      <c r="I70" s="54" t="s">
        <v>2670</v>
      </c>
      <c r="J70" s="54" t="s">
        <v>2671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52" t="str">
        <f t="shared" si="1"/>
        <v>070</v>
      </c>
      <c r="B71" s="53" t="s">
        <v>310</v>
      </c>
      <c r="C71" s="54" t="s">
        <v>2602</v>
      </c>
      <c r="D71" s="54" t="s">
        <v>2672</v>
      </c>
      <c r="E71" s="54" t="s">
        <v>2673</v>
      </c>
      <c r="F71" s="54" t="s">
        <v>2674</v>
      </c>
      <c r="G71" s="54" t="s">
        <v>2675</v>
      </c>
      <c r="H71" s="54" t="s">
        <v>2676</v>
      </c>
      <c r="I71" s="54" t="s">
        <v>2677</v>
      </c>
      <c r="J71" s="54" t="s">
        <v>2678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52" t="str">
        <f t="shared" si="1"/>
        <v>071</v>
      </c>
      <c r="B72" s="53" t="s">
        <v>312</v>
      </c>
      <c r="C72" s="54" t="s">
        <v>2679</v>
      </c>
      <c r="D72" s="54" t="s">
        <v>2680</v>
      </c>
      <c r="E72" s="54" t="s">
        <v>2681</v>
      </c>
      <c r="F72" s="54" t="s">
        <v>2682</v>
      </c>
      <c r="G72" s="54" t="s">
        <v>2683</v>
      </c>
      <c r="H72" s="54" t="s">
        <v>2684</v>
      </c>
      <c r="I72" s="54" t="s">
        <v>2685</v>
      </c>
      <c r="J72" s="54" t="s">
        <v>2686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52" t="str">
        <f t="shared" si="1"/>
        <v>072</v>
      </c>
      <c r="B73" s="53" t="s">
        <v>323</v>
      </c>
      <c r="C73" s="54" t="s">
        <v>2679</v>
      </c>
      <c r="D73" s="54" t="s">
        <v>2687</v>
      </c>
      <c r="E73" s="54" t="s">
        <v>2688</v>
      </c>
      <c r="F73" s="54" t="s">
        <v>2486</v>
      </c>
      <c r="G73" s="54" t="s">
        <v>2689</v>
      </c>
      <c r="H73" s="54" t="s">
        <v>2627</v>
      </c>
      <c r="I73" s="54" t="s">
        <v>2690</v>
      </c>
      <c r="J73" s="54" t="s">
        <v>2691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52" t="str">
        <f t="shared" si="1"/>
        <v>073</v>
      </c>
      <c r="B74" s="53" t="s">
        <v>327</v>
      </c>
      <c r="C74" s="54" t="s">
        <v>2679</v>
      </c>
      <c r="D74" s="54" t="s">
        <v>2692</v>
      </c>
      <c r="E74" s="54" t="s">
        <v>2693</v>
      </c>
      <c r="F74" s="54" t="s">
        <v>2694</v>
      </c>
      <c r="G74" s="54" t="s">
        <v>2695</v>
      </c>
      <c r="H74" s="54" t="s">
        <v>2696</v>
      </c>
      <c r="I74" s="54" t="s">
        <v>2697</v>
      </c>
      <c r="J74" s="54" t="s">
        <v>2698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52" t="str">
        <f t="shared" si="1"/>
        <v>074</v>
      </c>
      <c r="B75" s="53" t="s">
        <v>330</v>
      </c>
      <c r="C75" s="54" t="s">
        <v>2679</v>
      </c>
      <c r="D75" s="54" t="s">
        <v>2699</v>
      </c>
      <c r="E75" s="54" t="s">
        <v>2700</v>
      </c>
      <c r="F75" s="54" t="s">
        <v>2701</v>
      </c>
      <c r="G75" s="54" t="s">
        <v>2702</v>
      </c>
      <c r="H75" s="54" t="s">
        <v>2703</v>
      </c>
      <c r="I75" s="54" t="s">
        <v>2704</v>
      </c>
      <c r="J75" s="54" t="s">
        <v>2705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52" t="str">
        <f t="shared" si="1"/>
        <v>075</v>
      </c>
      <c r="B76" s="53" t="s">
        <v>332</v>
      </c>
      <c r="C76" s="54" t="s">
        <v>2679</v>
      </c>
      <c r="D76" s="54" t="s">
        <v>2706</v>
      </c>
      <c r="E76" s="54" t="s">
        <v>2707</v>
      </c>
      <c r="F76" s="54" t="s">
        <v>2708</v>
      </c>
      <c r="G76" s="54" t="s">
        <v>2709</v>
      </c>
      <c r="H76" s="54" t="s">
        <v>2710</v>
      </c>
      <c r="I76" s="54" t="s">
        <v>2711</v>
      </c>
      <c r="J76" s="54" t="s">
        <v>2712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52" t="str">
        <f t="shared" si="1"/>
        <v>076</v>
      </c>
      <c r="B77" s="53" t="s">
        <v>334</v>
      </c>
      <c r="C77" s="54" t="s">
        <v>2679</v>
      </c>
      <c r="D77" s="54" t="s">
        <v>2713</v>
      </c>
      <c r="E77" s="54" t="s">
        <v>2714</v>
      </c>
      <c r="F77" s="54" t="s">
        <v>2715</v>
      </c>
      <c r="G77" s="54" t="s">
        <v>2716</v>
      </c>
      <c r="H77" s="54" t="s">
        <v>2717</v>
      </c>
      <c r="I77" s="54" t="s">
        <v>2718</v>
      </c>
      <c r="J77" s="54" t="s">
        <v>2719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52" t="str">
        <f t="shared" si="1"/>
        <v>077</v>
      </c>
      <c r="B78" s="53" t="s">
        <v>336</v>
      </c>
      <c r="C78" s="54" t="s">
        <v>2679</v>
      </c>
      <c r="D78" s="54" t="s">
        <v>2720</v>
      </c>
      <c r="E78" s="54" t="s">
        <v>2721</v>
      </c>
      <c r="F78" s="54" t="s">
        <v>2486</v>
      </c>
      <c r="G78" s="54" t="s">
        <v>2722</v>
      </c>
      <c r="H78" s="54" t="s">
        <v>2723</v>
      </c>
      <c r="I78" s="54" t="s">
        <v>2724</v>
      </c>
      <c r="J78" s="54" t="s">
        <v>2725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52" t="str">
        <f t="shared" si="1"/>
        <v>078</v>
      </c>
      <c r="B79" s="53" t="s">
        <v>338</v>
      </c>
      <c r="C79" s="54" t="s">
        <v>2679</v>
      </c>
      <c r="D79" s="54" t="s">
        <v>2726</v>
      </c>
      <c r="E79" s="54" t="s">
        <v>2727</v>
      </c>
      <c r="F79" s="54" t="s">
        <v>2728</v>
      </c>
      <c r="G79" s="54" t="s">
        <v>2729</v>
      </c>
      <c r="H79" s="54" t="s">
        <v>2627</v>
      </c>
      <c r="I79" s="54" t="s">
        <v>2730</v>
      </c>
      <c r="J79" s="54" t="s">
        <v>2731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52" t="str">
        <f t="shared" si="1"/>
        <v>079</v>
      </c>
      <c r="B80" s="53" t="s">
        <v>340</v>
      </c>
      <c r="C80" s="54" t="s">
        <v>2679</v>
      </c>
      <c r="D80" s="54" t="s">
        <v>2732</v>
      </c>
      <c r="E80" s="54" t="s">
        <v>2733</v>
      </c>
      <c r="F80" s="54" t="s">
        <v>2734</v>
      </c>
      <c r="G80" s="54" t="s">
        <v>2735</v>
      </c>
      <c r="H80" s="54" t="s">
        <v>2736</v>
      </c>
      <c r="I80" s="54" t="s">
        <v>2737</v>
      </c>
      <c r="J80" s="54" t="s">
        <v>2738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52" t="str">
        <f t="shared" si="1"/>
        <v>080</v>
      </c>
      <c r="B81" s="53" t="s">
        <v>342</v>
      </c>
      <c r="C81" s="54" t="s">
        <v>2679</v>
      </c>
      <c r="D81" s="54" t="s">
        <v>2739</v>
      </c>
      <c r="E81" s="54" t="s">
        <v>2740</v>
      </c>
      <c r="F81" s="54" t="s">
        <v>2741</v>
      </c>
      <c r="G81" s="54" t="s">
        <v>2742</v>
      </c>
      <c r="H81" s="54" t="s">
        <v>2743</v>
      </c>
      <c r="I81" s="54" t="s">
        <v>2744</v>
      </c>
      <c r="J81" s="54" t="s">
        <v>2745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52" t="str">
        <f t="shared" si="1"/>
        <v>081</v>
      </c>
      <c r="B82" s="53" t="s">
        <v>344</v>
      </c>
      <c r="C82" s="54" t="s">
        <v>2679</v>
      </c>
      <c r="D82" s="54" t="s">
        <v>2746</v>
      </c>
      <c r="E82" s="54" t="s">
        <v>2747</v>
      </c>
      <c r="F82" s="54" t="s">
        <v>2748</v>
      </c>
      <c r="G82" s="54" t="s">
        <v>2749</v>
      </c>
      <c r="H82" s="54" t="s">
        <v>2750</v>
      </c>
      <c r="I82" s="54" t="s">
        <v>2751</v>
      </c>
      <c r="J82" s="54" t="s">
        <v>2752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52" t="str">
        <f t="shared" si="1"/>
        <v>082</v>
      </c>
      <c r="B83" s="53" t="s">
        <v>346</v>
      </c>
      <c r="C83" s="54" t="s">
        <v>2679</v>
      </c>
      <c r="D83" s="54" t="s">
        <v>2753</v>
      </c>
      <c r="E83" s="54" t="s">
        <v>2754</v>
      </c>
      <c r="F83" s="54" t="s">
        <v>2755</v>
      </c>
      <c r="G83" s="54" t="s">
        <v>2756</v>
      </c>
      <c r="H83" s="54" t="s">
        <v>2757</v>
      </c>
      <c r="I83" s="54" t="s">
        <v>2758</v>
      </c>
      <c r="J83" s="54" t="s">
        <v>2759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52" t="str">
        <f t="shared" si="1"/>
        <v>083</v>
      </c>
      <c r="B84" s="53" t="s">
        <v>349</v>
      </c>
      <c r="C84" s="54" t="s">
        <v>351</v>
      </c>
      <c r="D84" s="54" t="s">
        <v>2760</v>
      </c>
      <c r="E84" s="54" t="s">
        <v>2761</v>
      </c>
      <c r="F84" s="54" t="s">
        <v>2762</v>
      </c>
      <c r="G84" s="54" t="s">
        <v>2763</v>
      </c>
      <c r="H84" s="54" t="s">
        <v>2764</v>
      </c>
      <c r="I84" s="54" t="s">
        <v>2765</v>
      </c>
      <c r="J84" s="54" t="s">
        <v>2766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52" t="str">
        <f t="shared" si="1"/>
        <v>084</v>
      </c>
      <c r="B85" s="53" t="s">
        <v>356</v>
      </c>
      <c r="C85" s="54" t="s">
        <v>351</v>
      </c>
      <c r="D85" s="54" t="s">
        <v>2767</v>
      </c>
      <c r="E85" s="54" t="s">
        <v>2768</v>
      </c>
      <c r="F85" s="54" t="s">
        <v>2762</v>
      </c>
      <c r="G85" s="54" t="s">
        <v>2769</v>
      </c>
      <c r="H85" s="54" t="s">
        <v>2770</v>
      </c>
      <c r="I85" s="54" t="s">
        <v>2771</v>
      </c>
      <c r="J85" s="54" t="s">
        <v>2772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52" t="str">
        <f t="shared" si="1"/>
        <v>085</v>
      </c>
      <c r="B86" s="53" t="s">
        <v>359</v>
      </c>
      <c r="C86" s="54" t="s">
        <v>351</v>
      </c>
      <c r="D86" s="54" t="s">
        <v>2773</v>
      </c>
      <c r="E86" s="54" t="s">
        <v>2774</v>
      </c>
      <c r="F86" s="54" t="s">
        <v>2350</v>
      </c>
      <c r="G86" s="54" t="s">
        <v>2775</v>
      </c>
      <c r="H86" s="54" t="s">
        <v>2776</v>
      </c>
      <c r="I86" s="54" t="s">
        <v>2777</v>
      </c>
      <c r="J86" s="54" t="s">
        <v>2778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52" t="str">
        <f t="shared" si="1"/>
        <v>086</v>
      </c>
      <c r="B87" s="53" t="s">
        <v>361</v>
      </c>
      <c r="C87" s="54" t="s">
        <v>351</v>
      </c>
      <c r="D87" s="54" t="s">
        <v>2779</v>
      </c>
      <c r="E87" s="54" t="s">
        <v>2780</v>
      </c>
      <c r="F87" s="54" t="s">
        <v>2755</v>
      </c>
      <c r="G87" s="54" t="s">
        <v>2781</v>
      </c>
      <c r="H87" s="54" t="s">
        <v>2782</v>
      </c>
      <c r="I87" s="54" t="s">
        <v>2783</v>
      </c>
      <c r="J87" s="54" t="s">
        <v>2784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52" t="str">
        <f t="shared" si="1"/>
        <v>087</v>
      </c>
      <c r="B88" s="53" t="s">
        <v>363</v>
      </c>
      <c r="C88" s="54" t="s">
        <v>351</v>
      </c>
      <c r="D88" s="54" t="s">
        <v>2785</v>
      </c>
      <c r="E88" s="54" t="s">
        <v>2786</v>
      </c>
      <c r="F88" s="54" t="s">
        <v>2787</v>
      </c>
      <c r="G88" s="54" t="s">
        <v>2788</v>
      </c>
      <c r="H88" s="54" t="s">
        <v>2789</v>
      </c>
      <c r="I88" s="54" t="s">
        <v>2790</v>
      </c>
      <c r="J88" s="54" t="s">
        <v>2791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52" t="str">
        <f t="shared" si="1"/>
        <v>088</v>
      </c>
      <c r="B89" s="53" t="s">
        <v>365</v>
      </c>
      <c r="C89" s="54" t="s">
        <v>351</v>
      </c>
      <c r="D89" s="54" t="s">
        <v>2792</v>
      </c>
      <c r="E89" s="54" t="s">
        <v>2793</v>
      </c>
      <c r="F89" s="54" t="s">
        <v>2486</v>
      </c>
      <c r="G89" s="54" t="s">
        <v>2794</v>
      </c>
      <c r="H89" s="54" t="s">
        <v>2627</v>
      </c>
      <c r="I89" s="54" t="s">
        <v>2795</v>
      </c>
      <c r="J89" s="54" t="s">
        <v>2796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52" t="str">
        <f t="shared" si="1"/>
        <v>089</v>
      </c>
      <c r="B90" s="53" t="s">
        <v>367</v>
      </c>
      <c r="C90" s="54" t="s">
        <v>351</v>
      </c>
      <c r="D90" s="54" t="s">
        <v>2797</v>
      </c>
      <c r="E90" s="54" t="s">
        <v>2798</v>
      </c>
      <c r="F90" s="54" t="s">
        <v>2799</v>
      </c>
      <c r="G90" s="54" t="s">
        <v>2800</v>
      </c>
      <c r="H90" s="54" t="s">
        <v>2801</v>
      </c>
      <c r="I90" s="54" t="s">
        <v>2802</v>
      </c>
      <c r="J90" s="54" t="s">
        <v>2803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52" t="str">
        <f t="shared" si="1"/>
        <v>090</v>
      </c>
      <c r="B91" s="53" t="s">
        <v>369</v>
      </c>
      <c r="C91" s="54" t="s">
        <v>2679</v>
      </c>
      <c r="D91" s="54" t="s">
        <v>2804</v>
      </c>
      <c r="E91" s="54" t="s">
        <v>2805</v>
      </c>
      <c r="F91" s="54" t="s">
        <v>2806</v>
      </c>
      <c r="G91" s="54" t="s">
        <v>2807</v>
      </c>
      <c r="H91" s="54" t="s">
        <v>2750</v>
      </c>
      <c r="I91" s="54" t="s">
        <v>2808</v>
      </c>
      <c r="J91" s="54" t="s">
        <v>2809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52" t="str">
        <f t="shared" si="1"/>
        <v>091</v>
      </c>
      <c r="B92" s="53" t="s">
        <v>371</v>
      </c>
      <c r="C92" s="54" t="s">
        <v>351</v>
      </c>
      <c r="D92" s="54" t="s">
        <v>2810</v>
      </c>
      <c r="E92" s="54" t="s">
        <v>2811</v>
      </c>
      <c r="F92" s="54" t="s">
        <v>2467</v>
      </c>
      <c r="G92" s="54" t="s">
        <v>2812</v>
      </c>
      <c r="H92" s="54" t="s">
        <v>2813</v>
      </c>
      <c r="I92" s="54" t="s">
        <v>2814</v>
      </c>
      <c r="J92" s="54" t="s">
        <v>2815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52" t="str">
        <f t="shared" si="1"/>
        <v>092</v>
      </c>
      <c r="B93" s="53" t="s">
        <v>373</v>
      </c>
      <c r="C93" s="54" t="s">
        <v>2192</v>
      </c>
      <c r="D93" s="54" t="s">
        <v>2816</v>
      </c>
      <c r="E93" s="54" t="s">
        <v>2817</v>
      </c>
      <c r="F93" s="54" t="s">
        <v>2818</v>
      </c>
      <c r="G93" s="54" t="s">
        <v>2819</v>
      </c>
      <c r="H93" s="54" t="s">
        <v>2820</v>
      </c>
      <c r="I93" s="54" t="s">
        <v>2821</v>
      </c>
      <c r="J93" s="54" t="s">
        <v>2822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52" t="str">
        <f t="shared" si="1"/>
        <v>093</v>
      </c>
      <c r="B94" s="53" t="s">
        <v>375</v>
      </c>
      <c r="C94" s="54" t="s">
        <v>351</v>
      </c>
      <c r="D94" s="54" t="s">
        <v>2823</v>
      </c>
      <c r="E94" s="54" t="s">
        <v>2824</v>
      </c>
      <c r="F94" s="54" t="s">
        <v>2755</v>
      </c>
      <c r="G94" s="54" t="s">
        <v>2825</v>
      </c>
      <c r="H94" s="54" t="s">
        <v>2826</v>
      </c>
      <c r="I94" s="54" t="s">
        <v>2827</v>
      </c>
      <c r="J94" s="54" t="s">
        <v>2828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52" t="str">
        <f t="shared" si="1"/>
        <v>094</v>
      </c>
      <c r="B95" s="53" t="s">
        <v>377</v>
      </c>
      <c r="C95" s="54" t="s">
        <v>380</v>
      </c>
      <c r="D95" s="54" t="s">
        <v>2829</v>
      </c>
      <c r="E95" s="54" t="s">
        <v>2830</v>
      </c>
      <c r="F95" s="54" t="s">
        <v>2467</v>
      </c>
      <c r="G95" s="54" t="s">
        <v>2831</v>
      </c>
      <c r="H95" s="54" t="s">
        <v>2826</v>
      </c>
      <c r="I95" s="54" t="s">
        <v>2832</v>
      </c>
      <c r="J95" s="54" t="s">
        <v>2833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52" t="str">
        <f t="shared" si="1"/>
        <v>095</v>
      </c>
      <c r="B96" s="53" t="s">
        <v>384</v>
      </c>
      <c r="C96" s="54" t="s">
        <v>380</v>
      </c>
      <c r="D96" s="54" t="s">
        <v>2834</v>
      </c>
      <c r="E96" s="54" t="s">
        <v>2835</v>
      </c>
      <c r="F96" s="54" t="s">
        <v>2836</v>
      </c>
      <c r="G96" s="54" t="s">
        <v>2837</v>
      </c>
      <c r="H96" s="54" t="s">
        <v>2813</v>
      </c>
      <c r="I96" s="54" t="s">
        <v>2838</v>
      </c>
      <c r="J96" s="54" t="s">
        <v>2839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52" t="str">
        <f t="shared" si="1"/>
        <v>096</v>
      </c>
      <c r="B97" s="53" t="s">
        <v>386</v>
      </c>
      <c r="C97" s="54" t="s">
        <v>380</v>
      </c>
      <c r="D97" s="54" t="s">
        <v>2840</v>
      </c>
      <c r="E97" s="54" t="s">
        <v>2841</v>
      </c>
      <c r="F97" s="54" t="s">
        <v>2646</v>
      </c>
      <c r="G97" s="54" t="s">
        <v>2842</v>
      </c>
      <c r="H97" s="54" t="s">
        <v>2843</v>
      </c>
      <c r="I97" s="54" t="s">
        <v>2844</v>
      </c>
      <c r="J97" s="54" t="s">
        <v>2845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52" t="str">
        <f t="shared" si="1"/>
        <v>097</v>
      </c>
      <c r="B98" s="53" t="s">
        <v>388</v>
      </c>
      <c r="C98" s="54" t="s">
        <v>380</v>
      </c>
      <c r="D98" s="54" t="s">
        <v>2846</v>
      </c>
      <c r="E98" s="54" t="s">
        <v>2847</v>
      </c>
      <c r="F98" s="54" t="s">
        <v>2755</v>
      </c>
      <c r="G98" s="54" t="s">
        <v>2848</v>
      </c>
      <c r="H98" s="54" t="s">
        <v>2849</v>
      </c>
      <c r="I98" s="54" t="s">
        <v>2850</v>
      </c>
      <c r="J98" s="54" t="s">
        <v>2851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52" t="str">
        <f t="shared" si="1"/>
        <v>098</v>
      </c>
      <c r="B99" s="53" t="s">
        <v>390</v>
      </c>
      <c r="C99" s="54" t="s">
        <v>380</v>
      </c>
      <c r="D99" s="54" t="s">
        <v>2852</v>
      </c>
      <c r="E99" s="54" t="s">
        <v>2853</v>
      </c>
      <c r="F99" s="54" t="s">
        <v>2854</v>
      </c>
      <c r="G99" s="54" t="s">
        <v>2855</v>
      </c>
      <c r="H99" s="54" t="s">
        <v>2856</v>
      </c>
      <c r="I99" s="54" t="s">
        <v>2857</v>
      </c>
      <c r="J99" s="54" t="s">
        <v>2858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52" t="str">
        <f t="shared" si="1"/>
        <v>099</v>
      </c>
      <c r="B100" s="53" t="s">
        <v>393</v>
      </c>
      <c r="C100" s="54" t="s">
        <v>380</v>
      </c>
      <c r="D100" s="54" t="s">
        <v>2859</v>
      </c>
      <c r="E100" s="54" t="s">
        <v>2860</v>
      </c>
      <c r="F100" s="54" t="s">
        <v>2467</v>
      </c>
      <c r="G100" s="54" t="s">
        <v>2861</v>
      </c>
      <c r="H100" s="54" t="s">
        <v>2862</v>
      </c>
      <c r="I100" s="54" t="s">
        <v>2863</v>
      </c>
      <c r="J100" s="54" t="s">
        <v>2864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52" t="str">
        <f t="shared" si="1"/>
        <v>100</v>
      </c>
      <c r="B101" s="53" t="s">
        <v>395</v>
      </c>
      <c r="C101" s="54" t="s">
        <v>380</v>
      </c>
      <c r="D101" s="54" t="s">
        <v>2865</v>
      </c>
      <c r="E101" s="54" t="s">
        <v>2866</v>
      </c>
      <c r="F101" s="54" t="s">
        <v>2486</v>
      </c>
      <c r="G101" s="54" t="s">
        <v>2867</v>
      </c>
      <c r="H101" s="54" t="s">
        <v>2627</v>
      </c>
      <c r="I101" s="54" t="s">
        <v>2868</v>
      </c>
      <c r="J101" s="54" t="s">
        <v>2869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52" t="str">
        <f t="shared" si="1"/>
        <v>101</v>
      </c>
      <c r="B102" s="53" t="s">
        <v>397</v>
      </c>
      <c r="C102" s="54" t="s">
        <v>2870</v>
      </c>
      <c r="D102" s="54" t="s">
        <v>2871</v>
      </c>
      <c r="E102" s="54" t="s">
        <v>2872</v>
      </c>
      <c r="F102" s="54" t="s">
        <v>2873</v>
      </c>
      <c r="G102" s="54" t="s">
        <v>2874</v>
      </c>
      <c r="H102" s="54" t="s">
        <v>2875</v>
      </c>
      <c r="I102" s="54" t="s">
        <v>2876</v>
      </c>
      <c r="J102" s="54" t="s">
        <v>2877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52" t="str">
        <f t="shared" si="1"/>
        <v>102</v>
      </c>
      <c r="B103" s="53" t="s">
        <v>399</v>
      </c>
      <c r="C103" s="54" t="s">
        <v>380</v>
      </c>
      <c r="D103" s="54" t="s">
        <v>2878</v>
      </c>
      <c r="E103" s="54" t="s">
        <v>2879</v>
      </c>
      <c r="F103" s="54" t="s">
        <v>2674</v>
      </c>
      <c r="G103" s="54" t="s">
        <v>2880</v>
      </c>
      <c r="H103" s="54" t="s">
        <v>2881</v>
      </c>
      <c r="I103" s="54" t="s">
        <v>2882</v>
      </c>
      <c r="J103" s="54" t="s">
        <v>2883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52" t="str">
        <f t="shared" si="1"/>
        <v>103</v>
      </c>
      <c r="B104" s="53" t="s">
        <v>401</v>
      </c>
      <c r="C104" s="54" t="s">
        <v>380</v>
      </c>
      <c r="D104" s="54" t="s">
        <v>2884</v>
      </c>
      <c r="E104" s="54" t="s">
        <v>2885</v>
      </c>
      <c r="F104" s="54" t="s">
        <v>2755</v>
      </c>
      <c r="G104" s="54" t="s">
        <v>2886</v>
      </c>
      <c r="H104" s="54" t="s">
        <v>2849</v>
      </c>
      <c r="I104" s="54" t="s">
        <v>2887</v>
      </c>
      <c r="J104" s="54" t="s">
        <v>2888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52" t="str">
        <f t="shared" si="1"/>
        <v>104</v>
      </c>
      <c r="B105" s="53" t="s">
        <v>403</v>
      </c>
      <c r="C105" s="54" t="s">
        <v>380</v>
      </c>
      <c r="D105" s="54" t="s">
        <v>2889</v>
      </c>
      <c r="E105" s="54" t="s">
        <v>2890</v>
      </c>
      <c r="F105" s="54" t="s">
        <v>2467</v>
      </c>
      <c r="G105" s="54" t="s">
        <v>2891</v>
      </c>
      <c r="H105" s="54" t="s">
        <v>2826</v>
      </c>
      <c r="I105" s="54" t="s">
        <v>2892</v>
      </c>
      <c r="J105" s="54" t="s">
        <v>2893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52" t="str">
        <f t="shared" si="1"/>
        <v>105</v>
      </c>
      <c r="B106" s="53" t="s">
        <v>405</v>
      </c>
      <c r="C106" s="54" t="s">
        <v>408</v>
      </c>
      <c r="D106" s="54" t="s">
        <v>2894</v>
      </c>
      <c r="E106" s="54" t="s">
        <v>2895</v>
      </c>
      <c r="F106" s="54" t="s">
        <v>2896</v>
      </c>
      <c r="G106" s="54" t="s">
        <v>2897</v>
      </c>
      <c r="H106" s="54" t="s">
        <v>2898</v>
      </c>
      <c r="I106" s="54" t="s">
        <v>2899</v>
      </c>
      <c r="J106" s="54" t="s">
        <v>2900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52" t="str">
        <f t="shared" si="1"/>
        <v>106</v>
      </c>
      <c r="B107" s="53" t="s">
        <v>413</v>
      </c>
      <c r="C107" s="54" t="s">
        <v>408</v>
      </c>
      <c r="D107" s="54" t="s">
        <v>2901</v>
      </c>
      <c r="E107" s="54" t="s">
        <v>2902</v>
      </c>
      <c r="F107" s="54" t="s">
        <v>2903</v>
      </c>
      <c r="G107" s="54" t="s">
        <v>2904</v>
      </c>
      <c r="H107" s="54" t="s">
        <v>2905</v>
      </c>
      <c r="I107" s="54" t="s">
        <v>2906</v>
      </c>
      <c r="J107" s="54" t="s">
        <v>2907</v>
      </c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52" t="str">
        <f t="shared" si="1"/>
        <v>107</v>
      </c>
      <c r="B108" s="53" t="s">
        <v>415</v>
      </c>
      <c r="C108" s="54" t="s">
        <v>408</v>
      </c>
      <c r="D108" s="54" t="s">
        <v>2908</v>
      </c>
      <c r="E108" s="54" t="s">
        <v>2909</v>
      </c>
      <c r="F108" s="54" t="s">
        <v>2910</v>
      </c>
      <c r="G108" s="54" t="s">
        <v>2911</v>
      </c>
      <c r="H108" s="54" t="s">
        <v>2912</v>
      </c>
      <c r="I108" s="54" t="s">
        <v>2913</v>
      </c>
      <c r="J108" s="54" t="s">
        <v>2914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52" t="str">
        <f t="shared" si="1"/>
        <v>108</v>
      </c>
      <c r="B109" s="53" t="s">
        <v>417</v>
      </c>
      <c r="C109" s="54" t="s">
        <v>408</v>
      </c>
      <c r="D109" s="54" t="s">
        <v>2915</v>
      </c>
      <c r="E109" s="54" t="s">
        <v>2916</v>
      </c>
      <c r="F109" s="54" t="s">
        <v>2917</v>
      </c>
      <c r="G109" s="54" t="s">
        <v>2918</v>
      </c>
      <c r="H109" s="54" t="s">
        <v>2919</v>
      </c>
      <c r="I109" s="54" t="s">
        <v>2920</v>
      </c>
      <c r="J109" s="54" t="s">
        <v>2921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52" t="str">
        <f t="shared" si="1"/>
        <v>109</v>
      </c>
      <c r="B110" s="53" t="s">
        <v>419</v>
      </c>
      <c r="C110" s="54" t="s">
        <v>408</v>
      </c>
      <c r="D110" s="54" t="s">
        <v>2922</v>
      </c>
      <c r="E110" s="54" t="s">
        <v>2923</v>
      </c>
      <c r="F110" s="54" t="s">
        <v>2646</v>
      </c>
      <c r="G110" s="54" t="s">
        <v>2924</v>
      </c>
      <c r="H110" s="54" t="s">
        <v>2925</v>
      </c>
      <c r="I110" s="54" t="s">
        <v>2926</v>
      </c>
      <c r="J110" s="54" t="s">
        <v>2927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52" t="str">
        <f t="shared" si="1"/>
        <v>110</v>
      </c>
      <c r="B111" s="53" t="s">
        <v>421</v>
      </c>
      <c r="C111" s="54" t="s">
        <v>408</v>
      </c>
      <c r="D111" s="54" t="s">
        <v>2928</v>
      </c>
      <c r="E111" s="54" t="s">
        <v>2929</v>
      </c>
      <c r="F111" s="54" t="s">
        <v>2930</v>
      </c>
      <c r="G111" s="54" t="s">
        <v>2931</v>
      </c>
      <c r="H111" s="54" t="s">
        <v>2932</v>
      </c>
      <c r="I111" s="54" t="s">
        <v>2933</v>
      </c>
      <c r="J111" s="54" t="s">
        <v>2934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52" t="str">
        <f t="shared" si="1"/>
        <v>111</v>
      </c>
      <c r="B112" s="53" t="s">
        <v>424</v>
      </c>
      <c r="C112" s="54" t="s">
        <v>408</v>
      </c>
      <c r="D112" s="54" t="s">
        <v>2935</v>
      </c>
      <c r="E112" s="54" t="s">
        <v>2936</v>
      </c>
      <c r="F112" s="54" t="s">
        <v>2937</v>
      </c>
      <c r="G112" s="54" t="s">
        <v>2938</v>
      </c>
      <c r="H112" s="54" t="s">
        <v>2939</v>
      </c>
      <c r="I112" s="54" t="s">
        <v>2940</v>
      </c>
      <c r="J112" s="54" t="s">
        <v>2941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52" t="str">
        <f t="shared" si="1"/>
        <v>112</v>
      </c>
      <c r="B113" s="53" t="s">
        <v>411</v>
      </c>
      <c r="C113" s="54" t="s">
        <v>408</v>
      </c>
      <c r="D113" s="54" t="s">
        <v>2942</v>
      </c>
      <c r="E113" s="54" t="s">
        <v>2943</v>
      </c>
      <c r="F113" s="54" t="s">
        <v>2944</v>
      </c>
      <c r="G113" s="54" t="s">
        <v>2945</v>
      </c>
      <c r="H113" s="54" t="s">
        <v>2919</v>
      </c>
      <c r="I113" s="54" t="s">
        <v>2946</v>
      </c>
      <c r="J113" s="54" t="s">
        <v>2947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52" t="str">
        <f t="shared" si="1"/>
        <v>113</v>
      </c>
      <c r="B114" s="53" t="s">
        <v>427</v>
      </c>
      <c r="C114" s="54" t="s">
        <v>408</v>
      </c>
      <c r="D114" s="54" t="s">
        <v>2948</v>
      </c>
      <c r="E114" s="54" t="s">
        <v>2949</v>
      </c>
      <c r="F114" s="54" t="s">
        <v>2950</v>
      </c>
      <c r="G114" s="54" t="s">
        <v>2951</v>
      </c>
      <c r="H114" s="54" t="s">
        <v>2952</v>
      </c>
      <c r="I114" s="54" t="s">
        <v>2953</v>
      </c>
      <c r="J114" s="54" t="s">
        <v>2954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52" t="str">
        <f t="shared" si="1"/>
        <v>114</v>
      </c>
      <c r="B115" s="53" t="s">
        <v>429</v>
      </c>
      <c r="C115" s="54" t="s">
        <v>408</v>
      </c>
      <c r="D115" s="54" t="s">
        <v>2955</v>
      </c>
      <c r="E115" s="54" t="s">
        <v>2956</v>
      </c>
      <c r="F115" s="54" t="s">
        <v>2957</v>
      </c>
      <c r="G115" s="54" t="s">
        <v>2958</v>
      </c>
      <c r="H115" s="54" t="s">
        <v>2959</v>
      </c>
      <c r="I115" s="54" t="s">
        <v>2960</v>
      </c>
      <c r="J115" s="54" t="s">
        <v>2961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52" t="str">
        <f t="shared" si="1"/>
        <v>115</v>
      </c>
      <c r="B116" s="53" t="s">
        <v>431</v>
      </c>
      <c r="C116" s="54" t="s">
        <v>15</v>
      </c>
      <c r="D116" s="54" t="s">
        <v>2962</v>
      </c>
      <c r="E116" s="54" t="s">
        <v>2963</v>
      </c>
      <c r="F116" s="54" t="s">
        <v>2964</v>
      </c>
      <c r="G116" s="54" t="s">
        <v>2965</v>
      </c>
      <c r="H116" s="54" t="s">
        <v>2966</v>
      </c>
      <c r="I116" s="54" t="s">
        <v>2967</v>
      </c>
      <c r="J116" s="54" t="s">
        <v>2968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52" t="str">
        <f t="shared" si="1"/>
        <v>116</v>
      </c>
      <c r="B117" s="53" t="s">
        <v>438</v>
      </c>
      <c r="C117" s="54" t="s">
        <v>15</v>
      </c>
      <c r="D117" s="54" t="s">
        <v>2969</v>
      </c>
      <c r="E117" s="54" t="s">
        <v>2970</v>
      </c>
      <c r="F117" s="54" t="s">
        <v>2971</v>
      </c>
      <c r="G117" s="54" t="s">
        <v>2972</v>
      </c>
      <c r="H117" s="54" t="s">
        <v>2973</v>
      </c>
      <c r="I117" s="54" t="s">
        <v>2974</v>
      </c>
      <c r="J117" s="54" t="s">
        <v>2975</v>
      </c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52" t="str">
        <f t="shared" si="1"/>
        <v>117</v>
      </c>
      <c r="B118" s="53" t="s">
        <v>441</v>
      </c>
      <c r="C118" s="54" t="s">
        <v>15</v>
      </c>
      <c r="D118" s="54" t="s">
        <v>2976</v>
      </c>
      <c r="E118" s="54" t="s">
        <v>2977</v>
      </c>
      <c r="F118" s="54" t="s">
        <v>2978</v>
      </c>
      <c r="G118" s="54" t="s">
        <v>2979</v>
      </c>
      <c r="H118" s="54" t="s">
        <v>2980</v>
      </c>
      <c r="I118" s="54" t="s">
        <v>2981</v>
      </c>
      <c r="J118" s="54" t="s">
        <v>2982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52" t="str">
        <f t="shared" si="1"/>
        <v>118</v>
      </c>
      <c r="B119" s="53" t="s">
        <v>443</v>
      </c>
      <c r="C119" s="54" t="s">
        <v>15</v>
      </c>
      <c r="D119" s="54" t="s">
        <v>2983</v>
      </c>
      <c r="E119" s="54" t="s">
        <v>2984</v>
      </c>
      <c r="F119" s="54" t="s">
        <v>2985</v>
      </c>
      <c r="G119" s="54" t="s">
        <v>2986</v>
      </c>
      <c r="H119" s="54" t="s">
        <v>2987</v>
      </c>
      <c r="I119" s="54" t="s">
        <v>2988</v>
      </c>
      <c r="J119" s="54" t="s">
        <v>2989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52" t="str">
        <f t="shared" si="1"/>
        <v>119</v>
      </c>
      <c r="B120" s="53" t="s">
        <v>447</v>
      </c>
      <c r="C120" s="54" t="s">
        <v>15</v>
      </c>
      <c r="D120" s="54" t="s">
        <v>2990</v>
      </c>
      <c r="E120" s="54" t="s">
        <v>2991</v>
      </c>
      <c r="F120" s="54" t="s">
        <v>2992</v>
      </c>
      <c r="G120" s="54" t="s">
        <v>2993</v>
      </c>
      <c r="H120" s="54" t="s">
        <v>2994</v>
      </c>
      <c r="I120" s="54" t="s">
        <v>2995</v>
      </c>
      <c r="J120" s="54" t="s">
        <v>2996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52" t="str">
        <f t="shared" si="1"/>
        <v>120</v>
      </c>
      <c r="B121" s="53" t="s">
        <v>449</v>
      </c>
      <c r="C121" s="54" t="s">
        <v>2997</v>
      </c>
      <c r="D121" s="54" t="s">
        <v>2998</v>
      </c>
      <c r="E121" s="54" t="s">
        <v>2999</v>
      </c>
      <c r="F121" s="54" t="s">
        <v>3000</v>
      </c>
      <c r="G121" s="54" t="s">
        <v>3001</v>
      </c>
      <c r="H121" s="54" t="s">
        <v>2324</v>
      </c>
      <c r="I121" s="54" t="s">
        <v>3002</v>
      </c>
      <c r="J121" s="54" t="s">
        <v>3003</v>
      </c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52" t="str">
        <f t="shared" si="1"/>
        <v>121</v>
      </c>
      <c r="B122" s="53" t="s">
        <v>451</v>
      </c>
      <c r="C122" s="54" t="s">
        <v>2997</v>
      </c>
      <c r="D122" s="54" t="s">
        <v>3004</v>
      </c>
      <c r="E122" s="54" t="s">
        <v>3005</v>
      </c>
      <c r="F122" s="54" t="s">
        <v>3006</v>
      </c>
      <c r="G122" s="54" t="s">
        <v>3007</v>
      </c>
      <c r="H122" s="54" t="s">
        <v>3008</v>
      </c>
      <c r="I122" s="54" t="s">
        <v>3009</v>
      </c>
      <c r="J122" s="54" t="s">
        <v>3010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52" t="str">
        <f t="shared" si="1"/>
        <v>122</v>
      </c>
      <c r="B123" s="53" t="s">
        <v>453</v>
      </c>
      <c r="C123" s="54" t="s">
        <v>3011</v>
      </c>
      <c r="D123" s="54" t="s">
        <v>3012</v>
      </c>
      <c r="E123" s="54" t="s">
        <v>3013</v>
      </c>
      <c r="F123" s="54" t="s">
        <v>3014</v>
      </c>
      <c r="G123" s="54" t="s">
        <v>3015</v>
      </c>
      <c r="H123" s="54" t="s">
        <v>3016</v>
      </c>
      <c r="I123" s="54" t="s">
        <v>3017</v>
      </c>
      <c r="J123" s="54" t="s">
        <v>3018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52" t="str">
        <f t="shared" si="1"/>
        <v>123</v>
      </c>
      <c r="B124" s="53" t="s">
        <v>455</v>
      </c>
      <c r="C124" s="54" t="s">
        <v>15</v>
      </c>
      <c r="D124" s="54" t="s">
        <v>3019</v>
      </c>
      <c r="E124" s="54" t="s">
        <v>3020</v>
      </c>
      <c r="F124" s="54" t="s">
        <v>3021</v>
      </c>
      <c r="G124" s="54" t="s">
        <v>3022</v>
      </c>
      <c r="H124" s="54" t="s">
        <v>3023</v>
      </c>
      <c r="I124" s="54" t="s">
        <v>3024</v>
      </c>
      <c r="J124" s="54" t="s">
        <v>3025</v>
      </c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52" t="str">
        <f t="shared" si="1"/>
        <v>124</v>
      </c>
      <c r="B125" s="53" t="s">
        <v>457</v>
      </c>
      <c r="C125" s="54" t="s">
        <v>15</v>
      </c>
      <c r="D125" s="54" t="s">
        <v>3026</v>
      </c>
      <c r="E125" s="54" t="s">
        <v>3027</v>
      </c>
      <c r="F125" s="54" t="s">
        <v>3028</v>
      </c>
      <c r="G125" s="54" t="s">
        <v>3029</v>
      </c>
      <c r="H125" s="54" t="s">
        <v>3030</v>
      </c>
      <c r="I125" s="54" t="s">
        <v>3031</v>
      </c>
      <c r="J125" s="54" t="s">
        <v>3032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52" t="str">
        <f t="shared" si="1"/>
        <v>125</v>
      </c>
      <c r="B126" s="53" t="s">
        <v>459</v>
      </c>
      <c r="C126" s="54" t="s">
        <v>3033</v>
      </c>
      <c r="D126" s="54" t="s">
        <v>3034</v>
      </c>
      <c r="E126" s="54" t="s">
        <v>3035</v>
      </c>
      <c r="F126" s="54" t="s">
        <v>3036</v>
      </c>
      <c r="G126" s="54" t="s">
        <v>3037</v>
      </c>
      <c r="H126" s="54" t="s">
        <v>3038</v>
      </c>
      <c r="I126" s="54" t="s">
        <v>3039</v>
      </c>
      <c r="J126" s="54" t="s">
        <v>3040</v>
      </c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52" t="str">
        <f t="shared" si="1"/>
        <v>126</v>
      </c>
      <c r="B127" s="53" t="s">
        <v>469</v>
      </c>
      <c r="C127" s="54" t="s">
        <v>3033</v>
      </c>
      <c r="D127" s="54" t="s">
        <v>3041</v>
      </c>
      <c r="E127" s="54" t="s">
        <v>3042</v>
      </c>
      <c r="F127" s="54" t="s">
        <v>3043</v>
      </c>
      <c r="G127" s="54" t="s">
        <v>3044</v>
      </c>
      <c r="H127" s="54" t="s">
        <v>3045</v>
      </c>
      <c r="I127" s="54" t="s">
        <v>3046</v>
      </c>
      <c r="J127" s="54" t="s">
        <v>3047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52" t="str">
        <f t="shared" si="1"/>
        <v>127</v>
      </c>
      <c r="B128" s="53" t="s">
        <v>472</v>
      </c>
      <c r="C128" s="54" t="s">
        <v>3033</v>
      </c>
      <c r="D128" s="54" t="s">
        <v>3048</v>
      </c>
      <c r="E128" s="54" t="s">
        <v>3049</v>
      </c>
      <c r="F128" s="54" t="s">
        <v>3050</v>
      </c>
      <c r="G128" s="54" t="s">
        <v>3051</v>
      </c>
      <c r="H128" s="54" t="s">
        <v>3052</v>
      </c>
      <c r="I128" s="54" t="s">
        <v>3053</v>
      </c>
      <c r="J128" s="54" t="s">
        <v>3054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52" t="str">
        <f t="shared" si="1"/>
        <v>128</v>
      </c>
      <c r="B129" s="53" t="s">
        <v>477</v>
      </c>
      <c r="C129" s="54" t="s">
        <v>3033</v>
      </c>
      <c r="D129" s="54" t="s">
        <v>3055</v>
      </c>
      <c r="E129" s="54" t="s">
        <v>3056</v>
      </c>
      <c r="F129" s="54" t="s">
        <v>3057</v>
      </c>
      <c r="G129" s="54" t="s">
        <v>3058</v>
      </c>
      <c r="H129" s="54" t="s">
        <v>3059</v>
      </c>
      <c r="I129" s="54" t="s">
        <v>3060</v>
      </c>
      <c r="J129" s="54" t="s">
        <v>3061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52" t="str">
        <f t="shared" si="1"/>
        <v>129</v>
      </c>
      <c r="B130" s="53" t="s">
        <v>480</v>
      </c>
      <c r="C130" s="54" t="s">
        <v>3033</v>
      </c>
      <c r="D130" s="54" t="s">
        <v>3062</v>
      </c>
      <c r="E130" s="54" t="s">
        <v>3063</v>
      </c>
      <c r="F130" s="54" t="s">
        <v>3064</v>
      </c>
      <c r="G130" s="54" t="s">
        <v>3065</v>
      </c>
      <c r="H130" s="54" t="s">
        <v>3066</v>
      </c>
      <c r="I130" s="54" t="s">
        <v>3067</v>
      </c>
      <c r="J130" s="54" t="s">
        <v>3068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52" t="str">
        <f t="shared" si="1"/>
        <v>130</v>
      </c>
      <c r="B131" s="53" t="s">
        <v>483</v>
      </c>
      <c r="C131" s="54" t="s">
        <v>3033</v>
      </c>
      <c r="D131" s="54" t="s">
        <v>3069</v>
      </c>
      <c r="E131" s="54" t="s">
        <v>3070</v>
      </c>
      <c r="F131" s="54" t="s">
        <v>3071</v>
      </c>
      <c r="G131" s="54" t="s">
        <v>3072</v>
      </c>
      <c r="H131" s="54" t="s">
        <v>3073</v>
      </c>
      <c r="I131" s="54" t="s">
        <v>3074</v>
      </c>
      <c r="J131" s="54" t="s">
        <v>3075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52" t="str">
        <f t="shared" si="1"/>
        <v>131</v>
      </c>
      <c r="B132" s="53" t="s">
        <v>485</v>
      </c>
      <c r="C132" s="54" t="s">
        <v>3033</v>
      </c>
      <c r="D132" s="54" t="s">
        <v>3076</v>
      </c>
      <c r="E132" s="54" t="s">
        <v>3077</v>
      </c>
      <c r="F132" s="54" t="s">
        <v>3078</v>
      </c>
      <c r="G132" s="54" t="s">
        <v>3079</v>
      </c>
      <c r="H132" s="54" t="s">
        <v>3016</v>
      </c>
      <c r="I132" s="54" t="s">
        <v>3080</v>
      </c>
      <c r="J132" s="54" t="s">
        <v>3081</v>
      </c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52" t="str">
        <f t="shared" si="1"/>
        <v>132</v>
      </c>
      <c r="B133" s="53" t="s">
        <v>487</v>
      </c>
      <c r="C133" s="54" t="s">
        <v>3033</v>
      </c>
      <c r="D133" s="54" t="s">
        <v>3082</v>
      </c>
      <c r="E133" s="54" t="s">
        <v>3083</v>
      </c>
      <c r="F133" s="54" t="s">
        <v>3084</v>
      </c>
      <c r="G133" s="54" t="s">
        <v>3085</v>
      </c>
      <c r="H133" s="54" t="s">
        <v>3038</v>
      </c>
      <c r="I133" s="54" t="s">
        <v>3086</v>
      </c>
      <c r="J133" s="54" t="s">
        <v>3087</v>
      </c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52" t="str">
        <f t="shared" si="1"/>
        <v>133</v>
      </c>
      <c r="B134" s="53" t="s">
        <v>489</v>
      </c>
      <c r="C134" s="54" t="s">
        <v>3033</v>
      </c>
      <c r="D134" s="54" t="s">
        <v>3088</v>
      </c>
      <c r="E134" s="54" t="s">
        <v>3089</v>
      </c>
      <c r="F134" s="54" t="s">
        <v>3090</v>
      </c>
      <c r="G134" s="54" t="s">
        <v>3091</v>
      </c>
      <c r="H134" s="54" t="s">
        <v>3059</v>
      </c>
      <c r="I134" s="54" t="s">
        <v>3092</v>
      </c>
      <c r="J134" s="54" t="s">
        <v>3093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52" t="str">
        <f t="shared" si="1"/>
        <v>134</v>
      </c>
      <c r="B135" s="53" t="s">
        <v>491</v>
      </c>
      <c r="C135" s="54" t="s">
        <v>3033</v>
      </c>
      <c r="D135" s="54" t="s">
        <v>3094</v>
      </c>
      <c r="E135" s="54" t="s">
        <v>3095</v>
      </c>
      <c r="F135" s="54" t="s">
        <v>3096</v>
      </c>
      <c r="G135" s="54" t="s">
        <v>3097</v>
      </c>
      <c r="H135" s="54" t="s">
        <v>3098</v>
      </c>
      <c r="I135" s="54" t="s">
        <v>3099</v>
      </c>
      <c r="J135" s="54" t="s">
        <v>3100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52" t="str">
        <f t="shared" si="1"/>
        <v>135</v>
      </c>
      <c r="B136" s="53" t="s">
        <v>493</v>
      </c>
      <c r="C136" s="54" t="s">
        <v>2291</v>
      </c>
      <c r="D136" s="54" t="s">
        <v>3101</v>
      </c>
      <c r="E136" s="54" t="s">
        <v>3102</v>
      </c>
      <c r="F136" s="54" t="s">
        <v>3103</v>
      </c>
      <c r="G136" s="54" t="s">
        <v>3104</v>
      </c>
      <c r="H136" s="54" t="s">
        <v>3105</v>
      </c>
      <c r="I136" s="54" t="s">
        <v>3106</v>
      </c>
      <c r="J136" s="54" t="s">
        <v>3107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52" t="str">
        <f t="shared" si="1"/>
        <v>136</v>
      </c>
      <c r="B137" s="53" t="s">
        <v>499</v>
      </c>
      <c r="C137" s="54" t="s">
        <v>2291</v>
      </c>
      <c r="D137" s="54" t="s">
        <v>3108</v>
      </c>
      <c r="E137" s="54" t="s">
        <v>3109</v>
      </c>
      <c r="F137" s="54" t="s">
        <v>3110</v>
      </c>
      <c r="G137" s="54" t="s">
        <v>3111</v>
      </c>
      <c r="H137" s="54" t="s">
        <v>3112</v>
      </c>
      <c r="I137" s="54" t="s">
        <v>3113</v>
      </c>
      <c r="J137" s="54" t="s">
        <v>3114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52" t="str">
        <f t="shared" si="1"/>
        <v>137</v>
      </c>
      <c r="B138" s="53" t="s">
        <v>503</v>
      </c>
      <c r="C138" s="54" t="s">
        <v>2291</v>
      </c>
      <c r="D138" s="54" t="s">
        <v>3115</v>
      </c>
      <c r="E138" s="54" t="s">
        <v>3116</v>
      </c>
      <c r="F138" s="54" t="s">
        <v>3117</v>
      </c>
      <c r="G138" s="54" t="s">
        <v>3118</v>
      </c>
      <c r="H138" s="54" t="s">
        <v>3119</v>
      </c>
      <c r="I138" s="54" t="s">
        <v>3120</v>
      </c>
      <c r="J138" s="54" t="s">
        <v>3121</v>
      </c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52" t="str">
        <f t="shared" si="1"/>
        <v>138</v>
      </c>
      <c r="B139" s="53" t="s">
        <v>505</v>
      </c>
      <c r="C139" s="54" t="s">
        <v>2291</v>
      </c>
      <c r="D139" s="54" t="s">
        <v>3122</v>
      </c>
      <c r="E139" s="54" t="s">
        <v>3123</v>
      </c>
      <c r="F139" s="54" t="s">
        <v>3124</v>
      </c>
      <c r="G139" s="54" t="s">
        <v>3125</v>
      </c>
      <c r="H139" s="54" t="s">
        <v>3126</v>
      </c>
      <c r="I139" s="54" t="s">
        <v>3127</v>
      </c>
      <c r="J139" s="54" t="s">
        <v>3128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52" t="str">
        <f t="shared" si="1"/>
        <v>139</v>
      </c>
      <c r="B140" s="53" t="s">
        <v>507</v>
      </c>
      <c r="C140" s="54" t="s">
        <v>3129</v>
      </c>
      <c r="D140" s="54" t="s">
        <v>3130</v>
      </c>
      <c r="E140" s="54" t="s">
        <v>3131</v>
      </c>
      <c r="F140" s="54" t="s">
        <v>2646</v>
      </c>
      <c r="G140" s="54" t="s">
        <v>3132</v>
      </c>
      <c r="H140" s="54" t="s">
        <v>2925</v>
      </c>
      <c r="I140" s="54" t="s">
        <v>3133</v>
      </c>
      <c r="J140" s="54" t="s">
        <v>3134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52" t="str">
        <f t="shared" si="1"/>
        <v>140</v>
      </c>
      <c r="B141" s="53" t="s">
        <v>510</v>
      </c>
      <c r="C141" s="54" t="s">
        <v>3135</v>
      </c>
      <c r="D141" s="54" t="s">
        <v>3136</v>
      </c>
      <c r="E141" s="54" t="s">
        <v>3137</v>
      </c>
      <c r="F141" s="54" t="s">
        <v>3138</v>
      </c>
      <c r="G141" s="54" t="s">
        <v>3139</v>
      </c>
      <c r="H141" s="54" t="s">
        <v>3140</v>
      </c>
      <c r="I141" s="54" t="s">
        <v>3141</v>
      </c>
      <c r="J141" s="54" t="s">
        <v>3142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52" t="str">
        <f t="shared" si="1"/>
        <v>141</v>
      </c>
      <c r="B142" s="53" t="s">
        <v>512</v>
      </c>
      <c r="C142" s="54" t="s">
        <v>2291</v>
      </c>
      <c r="D142" s="54" t="s">
        <v>3143</v>
      </c>
      <c r="E142" s="54" t="s">
        <v>3144</v>
      </c>
      <c r="F142" s="54" t="s">
        <v>3145</v>
      </c>
      <c r="G142" s="54" t="s">
        <v>3146</v>
      </c>
      <c r="H142" s="54" t="s">
        <v>3073</v>
      </c>
      <c r="I142" s="54" t="s">
        <v>3147</v>
      </c>
      <c r="J142" s="54" t="s">
        <v>3148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52" t="str">
        <f t="shared" si="1"/>
        <v>142</v>
      </c>
      <c r="B143" s="53" t="s">
        <v>514</v>
      </c>
      <c r="C143" s="54" t="s">
        <v>3129</v>
      </c>
      <c r="D143" s="54" t="s">
        <v>3149</v>
      </c>
      <c r="E143" s="54" t="s">
        <v>3150</v>
      </c>
      <c r="F143" s="54" t="s">
        <v>3151</v>
      </c>
      <c r="G143" s="54" t="s">
        <v>3152</v>
      </c>
      <c r="H143" s="54" t="s">
        <v>3153</v>
      </c>
      <c r="I143" s="54" t="s">
        <v>3154</v>
      </c>
      <c r="J143" s="54" t="s">
        <v>3155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52" t="str">
        <f t="shared" si="1"/>
        <v>143</v>
      </c>
      <c r="B144" s="53" t="s">
        <v>516</v>
      </c>
      <c r="C144" s="54" t="s">
        <v>3156</v>
      </c>
      <c r="D144" s="54" t="s">
        <v>3157</v>
      </c>
      <c r="E144" s="54" t="s">
        <v>3158</v>
      </c>
      <c r="F144" s="54" t="s">
        <v>3159</v>
      </c>
      <c r="G144" s="54" t="s">
        <v>3160</v>
      </c>
      <c r="H144" s="54" t="s">
        <v>3161</v>
      </c>
      <c r="I144" s="54" t="s">
        <v>3162</v>
      </c>
      <c r="J144" s="54" t="s">
        <v>3163</v>
      </c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52" t="str">
        <f t="shared" si="1"/>
        <v>144</v>
      </c>
      <c r="B145" s="53" t="s">
        <v>518</v>
      </c>
      <c r="C145" s="54" t="s">
        <v>3164</v>
      </c>
      <c r="D145" s="54" t="s">
        <v>3165</v>
      </c>
      <c r="E145" s="54" t="s">
        <v>3166</v>
      </c>
      <c r="F145" s="54" t="s">
        <v>3167</v>
      </c>
      <c r="G145" s="54" t="s">
        <v>3168</v>
      </c>
      <c r="H145" s="54" t="s">
        <v>2898</v>
      </c>
      <c r="I145" s="54" t="s">
        <v>3169</v>
      </c>
      <c r="J145" s="54" t="s">
        <v>3170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52" t="str">
        <f t="shared" si="1"/>
        <v>145</v>
      </c>
      <c r="B146" s="53" t="s">
        <v>520</v>
      </c>
      <c r="C146" s="54" t="s">
        <v>3171</v>
      </c>
      <c r="D146" s="54" t="s">
        <v>3172</v>
      </c>
      <c r="E146" s="54" t="s">
        <v>3173</v>
      </c>
      <c r="F146" s="54" t="s">
        <v>3174</v>
      </c>
      <c r="G146" s="54" t="s">
        <v>3175</v>
      </c>
      <c r="H146" s="54" t="s">
        <v>3176</v>
      </c>
      <c r="I146" s="54" t="s">
        <v>3177</v>
      </c>
      <c r="J146" s="54" t="s">
        <v>3178</v>
      </c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52" t="str">
        <f t="shared" si="1"/>
        <v>146</v>
      </c>
      <c r="B147" s="53" t="s">
        <v>527</v>
      </c>
      <c r="C147" s="54" t="s">
        <v>3171</v>
      </c>
      <c r="D147" s="54" t="s">
        <v>3179</v>
      </c>
      <c r="E147" s="54" t="s">
        <v>3180</v>
      </c>
      <c r="F147" s="54" t="s">
        <v>3181</v>
      </c>
      <c r="G147" s="54" t="s">
        <v>3182</v>
      </c>
      <c r="H147" s="54" t="s">
        <v>3183</v>
      </c>
      <c r="I147" s="54" t="s">
        <v>3184</v>
      </c>
      <c r="J147" s="54" t="s">
        <v>3185</v>
      </c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52" t="str">
        <f t="shared" si="1"/>
        <v>147</v>
      </c>
      <c r="B148" s="53" t="s">
        <v>530</v>
      </c>
      <c r="C148" s="54" t="s">
        <v>3171</v>
      </c>
      <c r="D148" s="54" t="s">
        <v>3186</v>
      </c>
      <c r="E148" s="54" t="s">
        <v>3187</v>
      </c>
      <c r="F148" s="54" t="s">
        <v>3188</v>
      </c>
      <c r="G148" s="54" t="s">
        <v>3189</v>
      </c>
      <c r="H148" s="54" t="s">
        <v>3190</v>
      </c>
      <c r="I148" s="54" t="s">
        <v>3191</v>
      </c>
      <c r="J148" s="54" t="s">
        <v>3192</v>
      </c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52" t="str">
        <f t="shared" si="1"/>
        <v>148</v>
      </c>
      <c r="B149" s="53" t="s">
        <v>533</v>
      </c>
      <c r="C149" s="54" t="s">
        <v>3171</v>
      </c>
      <c r="D149" s="54" t="s">
        <v>3193</v>
      </c>
      <c r="E149" s="54" t="s">
        <v>3194</v>
      </c>
      <c r="F149" s="54" t="s">
        <v>3174</v>
      </c>
      <c r="G149" s="54" t="s">
        <v>3195</v>
      </c>
      <c r="H149" s="54" t="s">
        <v>3196</v>
      </c>
      <c r="I149" s="54" t="s">
        <v>3197</v>
      </c>
      <c r="J149" s="54" t="s">
        <v>3198</v>
      </c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52" t="str">
        <f t="shared" si="1"/>
        <v>149</v>
      </c>
      <c r="B150" s="53" t="s">
        <v>535</v>
      </c>
      <c r="C150" s="54" t="s">
        <v>3171</v>
      </c>
      <c r="D150" s="54" t="s">
        <v>3199</v>
      </c>
      <c r="E150" s="54" t="s">
        <v>3200</v>
      </c>
      <c r="F150" s="54" t="s">
        <v>3174</v>
      </c>
      <c r="G150" s="54" t="s">
        <v>3201</v>
      </c>
      <c r="H150" s="54" t="s">
        <v>3176</v>
      </c>
      <c r="I150" s="54" t="s">
        <v>3202</v>
      </c>
      <c r="J150" s="54" t="s">
        <v>3203</v>
      </c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52" t="str">
        <f t="shared" si="1"/>
        <v>150</v>
      </c>
      <c r="B151" s="53" t="s">
        <v>537</v>
      </c>
      <c r="C151" s="54" t="s">
        <v>3171</v>
      </c>
      <c r="D151" s="54" t="s">
        <v>3204</v>
      </c>
      <c r="E151" s="54" t="s">
        <v>3205</v>
      </c>
      <c r="F151" s="54" t="s">
        <v>3206</v>
      </c>
      <c r="G151" s="54" t="s">
        <v>3207</v>
      </c>
      <c r="H151" s="54" t="s">
        <v>2862</v>
      </c>
      <c r="I151" s="54" t="s">
        <v>3208</v>
      </c>
      <c r="J151" s="54" t="s">
        <v>3209</v>
      </c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52" t="str">
        <f t="shared" si="1"/>
        <v>151</v>
      </c>
      <c r="B152" s="53" t="s">
        <v>539</v>
      </c>
      <c r="C152" s="54" t="s">
        <v>3171</v>
      </c>
      <c r="D152" s="54" t="s">
        <v>3210</v>
      </c>
      <c r="E152" s="54" t="s">
        <v>3211</v>
      </c>
      <c r="F152" s="54" t="s">
        <v>3212</v>
      </c>
      <c r="G152" s="54" t="s">
        <v>3213</v>
      </c>
      <c r="H152" s="54" t="s">
        <v>2919</v>
      </c>
      <c r="I152" s="54" t="s">
        <v>3214</v>
      </c>
      <c r="J152" s="54" t="s">
        <v>3215</v>
      </c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52" t="str">
        <f t="shared" si="1"/>
        <v>152</v>
      </c>
      <c r="B153" s="53" t="s">
        <v>541</v>
      </c>
      <c r="C153" s="54" t="s">
        <v>3171</v>
      </c>
      <c r="D153" s="54" t="s">
        <v>3216</v>
      </c>
      <c r="E153" s="54" t="s">
        <v>3217</v>
      </c>
      <c r="F153" s="54" t="s">
        <v>3174</v>
      </c>
      <c r="G153" s="54" t="s">
        <v>3218</v>
      </c>
      <c r="H153" s="54" t="s">
        <v>3176</v>
      </c>
      <c r="I153" s="54" t="s">
        <v>3219</v>
      </c>
      <c r="J153" s="54" t="s">
        <v>3220</v>
      </c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52" t="str">
        <f t="shared" si="1"/>
        <v>153</v>
      </c>
      <c r="B154" s="53" t="s">
        <v>543</v>
      </c>
      <c r="C154" s="54" t="s">
        <v>3171</v>
      </c>
      <c r="D154" s="54" t="s">
        <v>3221</v>
      </c>
      <c r="E154" s="54" t="s">
        <v>3222</v>
      </c>
      <c r="F154" s="54" t="s">
        <v>3223</v>
      </c>
      <c r="G154" s="54" t="s">
        <v>3224</v>
      </c>
      <c r="H154" s="54" t="s">
        <v>2717</v>
      </c>
      <c r="I154" s="54" t="s">
        <v>3225</v>
      </c>
      <c r="J154" s="54" t="s">
        <v>3226</v>
      </c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52" t="str">
        <f t="shared" si="1"/>
        <v>154</v>
      </c>
      <c r="B155" s="53" t="s">
        <v>545</v>
      </c>
      <c r="C155" s="54" t="s">
        <v>3171</v>
      </c>
      <c r="D155" s="54" t="s">
        <v>3227</v>
      </c>
      <c r="E155" s="54" t="s">
        <v>3228</v>
      </c>
      <c r="F155" s="54" t="s">
        <v>2646</v>
      </c>
      <c r="G155" s="54" t="s">
        <v>3229</v>
      </c>
      <c r="H155" s="54" t="s">
        <v>2925</v>
      </c>
      <c r="I155" s="54" t="s">
        <v>3230</v>
      </c>
      <c r="J155" s="54" t="s">
        <v>3231</v>
      </c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52" t="str">
        <f t="shared" si="1"/>
        <v>155</v>
      </c>
      <c r="B156" s="53" t="s">
        <v>547</v>
      </c>
      <c r="C156" s="54" t="s">
        <v>549</v>
      </c>
      <c r="D156" s="54" t="s">
        <v>3232</v>
      </c>
      <c r="E156" s="54" t="s">
        <v>3233</v>
      </c>
      <c r="F156" s="54" t="s">
        <v>3234</v>
      </c>
      <c r="G156" s="54" t="s">
        <v>3235</v>
      </c>
      <c r="H156" s="54" t="s">
        <v>3236</v>
      </c>
      <c r="I156" s="54" t="s">
        <v>3237</v>
      </c>
      <c r="J156" s="54" t="s">
        <v>3238</v>
      </c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52" t="str">
        <f t="shared" si="1"/>
        <v>156</v>
      </c>
      <c r="B157" s="53" t="s">
        <v>554</v>
      </c>
      <c r="C157" s="54" t="s">
        <v>549</v>
      </c>
      <c r="D157" s="54" t="s">
        <v>3239</v>
      </c>
      <c r="E157" s="54" t="s">
        <v>3240</v>
      </c>
      <c r="F157" s="54" t="s">
        <v>3241</v>
      </c>
      <c r="G157" s="54" t="s">
        <v>3242</v>
      </c>
      <c r="H157" s="54" t="s">
        <v>3243</v>
      </c>
      <c r="I157" s="54" t="s">
        <v>3244</v>
      </c>
      <c r="J157" s="54" t="s">
        <v>3245</v>
      </c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52" t="str">
        <f t="shared" si="1"/>
        <v>157</v>
      </c>
      <c r="B158" s="53" t="s">
        <v>556</v>
      </c>
      <c r="C158" s="54" t="s">
        <v>549</v>
      </c>
      <c r="D158" s="54" t="s">
        <v>3246</v>
      </c>
      <c r="E158" s="54" t="s">
        <v>3247</v>
      </c>
      <c r="F158" s="54" t="s">
        <v>3248</v>
      </c>
      <c r="G158" s="54" t="s">
        <v>3249</v>
      </c>
      <c r="H158" s="54" t="s">
        <v>2717</v>
      </c>
      <c r="I158" s="54" t="s">
        <v>3250</v>
      </c>
      <c r="J158" s="54" t="s">
        <v>3251</v>
      </c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52" t="str">
        <f t="shared" si="1"/>
        <v>158</v>
      </c>
      <c r="B159" s="53" t="s">
        <v>559</v>
      </c>
      <c r="C159" s="54" t="s">
        <v>549</v>
      </c>
      <c r="D159" s="54" t="s">
        <v>3252</v>
      </c>
      <c r="E159" s="54" t="s">
        <v>3253</v>
      </c>
      <c r="F159" s="54" t="s">
        <v>3254</v>
      </c>
      <c r="G159" s="54" t="s">
        <v>3255</v>
      </c>
      <c r="H159" s="54" t="s">
        <v>3256</v>
      </c>
      <c r="I159" s="54" t="s">
        <v>3257</v>
      </c>
      <c r="J159" s="54" t="s">
        <v>3258</v>
      </c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52" t="str">
        <f t="shared" si="1"/>
        <v>159</v>
      </c>
      <c r="B160" s="53" t="s">
        <v>561</v>
      </c>
      <c r="C160" s="54" t="s">
        <v>549</v>
      </c>
      <c r="D160" s="54" t="s">
        <v>3259</v>
      </c>
      <c r="E160" s="54" t="s">
        <v>3260</v>
      </c>
      <c r="F160" s="54" t="s">
        <v>3261</v>
      </c>
      <c r="G160" s="54" t="s">
        <v>3262</v>
      </c>
      <c r="H160" s="54" t="s">
        <v>3263</v>
      </c>
      <c r="I160" s="54" t="s">
        <v>3264</v>
      </c>
      <c r="J160" s="54" t="s">
        <v>3265</v>
      </c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52" t="str">
        <f t="shared" si="1"/>
        <v>160</v>
      </c>
      <c r="B161" s="53" t="s">
        <v>563</v>
      </c>
      <c r="C161" s="54" t="s">
        <v>3266</v>
      </c>
      <c r="D161" s="54" t="s">
        <v>3267</v>
      </c>
      <c r="E161" s="54" t="s">
        <v>3268</v>
      </c>
      <c r="F161" s="54" t="s">
        <v>3269</v>
      </c>
      <c r="G161" s="54" t="s">
        <v>3270</v>
      </c>
      <c r="H161" s="54" t="s">
        <v>3271</v>
      </c>
      <c r="I161" s="54" t="s">
        <v>3272</v>
      </c>
      <c r="J161" s="54" t="s">
        <v>3273</v>
      </c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52" t="str">
        <f t="shared" si="1"/>
        <v>161</v>
      </c>
      <c r="B162" s="53" t="s">
        <v>565</v>
      </c>
      <c r="C162" s="54" t="s">
        <v>549</v>
      </c>
      <c r="D162" s="54" t="s">
        <v>3274</v>
      </c>
      <c r="E162" s="54" t="s">
        <v>3275</v>
      </c>
      <c r="F162" s="54" t="s">
        <v>3261</v>
      </c>
      <c r="G162" s="54" t="s">
        <v>3276</v>
      </c>
      <c r="H162" s="54" t="s">
        <v>3277</v>
      </c>
      <c r="I162" s="54" t="s">
        <v>3278</v>
      </c>
      <c r="J162" s="54" t="s">
        <v>3279</v>
      </c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52" t="str">
        <f t="shared" si="1"/>
        <v>162</v>
      </c>
      <c r="B163" s="53" t="s">
        <v>567</v>
      </c>
      <c r="C163" s="54" t="s">
        <v>549</v>
      </c>
      <c r="D163" s="54" t="s">
        <v>3280</v>
      </c>
      <c r="E163" s="54" t="s">
        <v>3281</v>
      </c>
      <c r="F163" s="54" t="s">
        <v>2715</v>
      </c>
      <c r="G163" s="54" t="s">
        <v>3282</v>
      </c>
      <c r="H163" s="54" t="s">
        <v>2826</v>
      </c>
      <c r="I163" s="54" t="s">
        <v>3283</v>
      </c>
      <c r="J163" s="54" t="s">
        <v>3284</v>
      </c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52" t="str">
        <f t="shared" si="1"/>
        <v>163</v>
      </c>
      <c r="B164" s="53" t="s">
        <v>569</v>
      </c>
      <c r="C164" s="54" t="s">
        <v>3285</v>
      </c>
      <c r="D164" s="54" t="s">
        <v>3286</v>
      </c>
      <c r="E164" s="54" t="s">
        <v>3287</v>
      </c>
      <c r="F164" s="54" t="s">
        <v>3288</v>
      </c>
      <c r="G164" s="54" t="s">
        <v>3289</v>
      </c>
      <c r="H164" s="54" t="s">
        <v>2406</v>
      </c>
      <c r="I164" s="54" t="s">
        <v>3290</v>
      </c>
      <c r="J164" s="54" t="s">
        <v>3291</v>
      </c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52" t="str">
        <f t="shared" si="1"/>
        <v>164</v>
      </c>
      <c r="B165" s="53" t="s">
        <v>579</v>
      </c>
      <c r="C165" s="54" t="s">
        <v>3285</v>
      </c>
      <c r="D165" s="54" t="s">
        <v>3292</v>
      </c>
      <c r="E165" s="54" t="s">
        <v>3293</v>
      </c>
      <c r="F165" s="54" t="s">
        <v>3294</v>
      </c>
      <c r="G165" s="54" t="s">
        <v>3295</v>
      </c>
      <c r="H165" s="54" t="s">
        <v>3296</v>
      </c>
      <c r="I165" s="54" t="s">
        <v>3297</v>
      </c>
      <c r="J165" s="54" t="s">
        <v>3298</v>
      </c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52" t="str">
        <f t="shared" si="1"/>
        <v>165</v>
      </c>
      <c r="B166" s="53" t="s">
        <v>581</v>
      </c>
      <c r="C166" s="54" t="s">
        <v>3285</v>
      </c>
      <c r="D166" s="54" t="s">
        <v>3299</v>
      </c>
      <c r="E166" s="54" t="s">
        <v>3300</v>
      </c>
      <c r="F166" s="54" t="s">
        <v>3301</v>
      </c>
      <c r="G166" s="54" t="s">
        <v>3302</v>
      </c>
      <c r="H166" s="54" t="s">
        <v>3303</v>
      </c>
      <c r="I166" s="54" t="s">
        <v>3304</v>
      </c>
      <c r="J166" s="54" t="s">
        <v>3305</v>
      </c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52" t="str">
        <f t="shared" si="1"/>
        <v>166</v>
      </c>
      <c r="B167" s="53" t="s">
        <v>585</v>
      </c>
      <c r="C167" s="54" t="s">
        <v>3285</v>
      </c>
      <c r="D167" s="54" t="s">
        <v>3306</v>
      </c>
      <c r="E167" s="54" t="s">
        <v>3307</v>
      </c>
      <c r="F167" s="54" t="s">
        <v>3308</v>
      </c>
      <c r="G167" s="54" t="s">
        <v>3309</v>
      </c>
      <c r="H167" s="54" t="s">
        <v>3310</v>
      </c>
      <c r="I167" s="54" t="s">
        <v>3311</v>
      </c>
      <c r="J167" s="54" t="s">
        <v>3312</v>
      </c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52" t="str">
        <f t="shared" si="1"/>
        <v>167</v>
      </c>
      <c r="B168" s="53" t="s">
        <v>587</v>
      </c>
      <c r="C168" s="54" t="s">
        <v>3285</v>
      </c>
      <c r="D168" s="54" t="s">
        <v>3313</v>
      </c>
      <c r="E168" s="54" t="s">
        <v>3314</v>
      </c>
      <c r="F168" s="54" t="s">
        <v>3315</v>
      </c>
      <c r="G168" s="54" t="s">
        <v>3316</v>
      </c>
      <c r="H168" s="54" t="s">
        <v>3317</v>
      </c>
      <c r="I168" s="54" t="s">
        <v>3318</v>
      </c>
      <c r="J168" s="54" t="s">
        <v>3319</v>
      </c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52" t="str">
        <f t="shared" si="1"/>
        <v>168</v>
      </c>
      <c r="B169" s="53" t="s">
        <v>589</v>
      </c>
      <c r="C169" s="54" t="s">
        <v>3285</v>
      </c>
      <c r="D169" s="54" t="s">
        <v>3320</v>
      </c>
      <c r="E169" s="54" t="s">
        <v>3321</v>
      </c>
      <c r="F169" s="54" t="s">
        <v>3159</v>
      </c>
      <c r="G169" s="54" t="s">
        <v>3322</v>
      </c>
      <c r="H169" s="54" t="s">
        <v>3323</v>
      </c>
      <c r="I169" s="54" t="s">
        <v>3324</v>
      </c>
      <c r="J169" s="54" t="s">
        <v>3325</v>
      </c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52" t="str">
        <f t="shared" si="1"/>
        <v>169</v>
      </c>
      <c r="B170" s="53" t="s">
        <v>591</v>
      </c>
      <c r="C170" s="54" t="s">
        <v>3285</v>
      </c>
      <c r="D170" s="54" t="s">
        <v>3326</v>
      </c>
      <c r="E170" s="54" t="s">
        <v>3327</v>
      </c>
      <c r="F170" s="54" t="s">
        <v>3328</v>
      </c>
      <c r="G170" s="54" t="s">
        <v>3329</v>
      </c>
      <c r="H170" s="54" t="s">
        <v>2826</v>
      </c>
      <c r="I170" s="54" t="s">
        <v>3330</v>
      </c>
      <c r="J170" s="54" t="s">
        <v>3331</v>
      </c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52" t="str">
        <f t="shared" si="1"/>
        <v>170</v>
      </c>
      <c r="B171" s="53" t="s">
        <v>593</v>
      </c>
      <c r="C171" s="54" t="s">
        <v>3332</v>
      </c>
      <c r="D171" s="54" t="s">
        <v>3333</v>
      </c>
      <c r="E171" s="54" t="s">
        <v>3334</v>
      </c>
      <c r="F171" s="54" t="s">
        <v>3335</v>
      </c>
      <c r="G171" s="54" t="s">
        <v>3336</v>
      </c>
      <c r="H171" s="54" t="s">
        <v>2826</v>
      </c>
      <c r="I171" s="54" t="s">
        <v>3337</v>
      </c>
      <c r="J171" s="54" t="s">
        <v>3338</v>
      </c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52" t="str">
        <f t="shared" si="1"/>
        <v>171</v>
      </c>
      <c r="B172" s="53" t="s">
        <v>403</v>
      </c>
      <c r="C172" s="54" t="s">
        <v>3332</v>
      </c>
      <c r="D172" s="54" t="s">
        <v>3339</v>
      </c>
      <c r="E172" s="54" t="s">
        <v>3340</v>
      </c>
      <c r="F172" s="54" t="s">
        <v>3328</v>
      </c>
      <c r="G172" s="54" t="s">
        <v>3341</v>
      </c>
      <c r="H172" s="54" t="s">
        <v>2826</v>
      </c>
      <c r="I172" s="54" t="s">
        <v>3342</v>
      </c>
      <c r="J172" s="54" t="s">
        <v>3343</v>
      </c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52" t="str">
        <f t="shared" si="1"/>
        <v>172</v>
      </c>
      <c r="B173" s="53" t="s">
        <v>602</v>
      </c>
      <c r="C173" s="54" t="s">
        <v>3332</v>
      </c>
      <c r="D173" s="54" t="s">
        <v>3344</v>
      </c>
      <c r="E173" s="54" t="s">
        <v>3345</v>
      </c>
      <c r="F173" s="54" t="s">
        <v>3328</v>
      </c>
      <c r="G173" s="54" t="s">
        <v>3346</v>
      </c>
      <c r="H173" s="54" t="s">
        <v>2399</v>
      </c>
      <c r="I173" s="54" t="s">
        <v>3347</v>
      </c>
      <c r="J173" s="54" t="s">
        <v>3348</v>
      </c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52" t="str">
        <f t="shared" si="1"/>
        <v>173</v>
      </c>
      <c r="B174" s="53" t="s">
        <v>605</v>
      </c>
      <c r="C174" s="54" t="s">
        <v>3332</v>
      </c>
      <c r="D174" s="54" t="s">
        <v>3349</v>
      </c>
      <c r="E174" s="54" t="s">
        <v>3350</v>
      </c>
      <c r="F174" s="54" t="s">
        <v>2854</v>
      </c>
      <c r="G174" s="54" t="s">
        <v>3351</v>
      </c>
      <c r="H174" s="54" t="s">
        <v>3352</v>
      </c>
      <c r="I174" s="54" t="s">
        <v>3353</v>
      </c>
      <c r="J174" s="54" t="s">
        <v>3354</v>
      </c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52" t="str">
        <f t="shared" si="1"/>
        <v>174</v>
      </c>
      <c r="B175" s="53" t="s">
        <v>607</v>
      </c>
      <c r="C175" s="54" t="s">
        <v>3332</v>
      </c>
      <c r="D175" s="54" t="s">
        <v>3355</v>
      </c>
      <c r="E175" s="54" t="s">
        <v>3356</v>
      </c>
      <c r="F175" s="54" t="s">
        <v>2404</v>
      </c>
      <c r="G175" s="54" t="s">
        <v>3357</v>
      </c>
      <c r="H175" s="54" t="s">
        <v>2627</v>
      </c>
      <c r="I175" s="54" t="s">
        <v>3358</v>
      </c>
      <c r="J175" s="54" t="s">
        <v>3359</v>
      </c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52" t="str">
        <f t="shared" si="1"/>
        <v>175</v>
      </c>
      <c r="B176" s="53" t="s">
        <v>609</v>
      </c>
      <c r="C176" s="54" t="s">
        <v>3332</v>
      </c>
      <c r="D176" s="54" t="s">
        <v>3360</v>
      </c>
      <c r="E176" s="54" t="s">
        <v>3361</v>
      </c>
      <c r="F176" s="54" t="s">
        <v>3362</v>
      </c>
      <c r="G176" s="54" t="s">
        <v>3363</v>
      </c>
      <c r="H176" s="54" t="s">
        <v>3153</v>
      </c>
      <c r="I176" s="54" t="s">
        <v>3364</v>
      </c>
      <c r="J176" s="54" t="s">
        <v>3365</v>
      </c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52" t="str">
        <f t="shared" si="1"/>
        <v>176</v>
      </c>
      <c r="B177" s="53" t="s">
        <v>611</v>
      </c>
      <c r="C177" s="54" t="s">
        <v>2679</v>
      </c>
      <c r="D177" s="54" t="s">
        <v>3366</v>
      </c>
      <c r="E177" s="54" t="s">
        <v>3367</v>
      </c>
      <c r="F177" s="54" t="s">
        <v>3368</v>
      </c>
      <c r="G177" s="54" t="s">
        <v>3369</v>
      </c>
      <c r="H177" s="54" t="s">
        <v>3370</v>
      </c>
      <c r="I177" s="54" t="s">
        <v>3371</v>
      </c>
      <c r="J177" s="54" t="s">
        <v>3372</v>
      </c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55"/>
      <c r="B178" s="56"/>
      <c r="C178" s="57"/>
      <c r="D178" s="57"/>
      <c r="E178" s="57"/>
      <c r="F178" s="57"/>
      <c r="G178" s="57"/>
      <c r="H178" s="57"/>
      <c r="I178" s="57"/>
      <c r="J178" s="57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55"/>
      <c r="B179" s="56"/>
      <c r="C179" s="56"/>
      <c r="D179" s="56"/>
      <c r="E179" s="56"/>
      <c r="F179" s="56"/>
      <c r="G179" s="56"/>
      <c r="H179" s="56"/>
      <c r="I179" s="56"/>
      <c r="J179" s="56"/>
    </row>
    <row r="180">
      <c r="A180" s="55"/>
      <c r="B180" s="56"/>
      <c r="C180" s="56"/>
      <c r="D180" s="56"/>
      <c r="E180" s="56"/>
      <c r="F180" s="56"/>
      <c r="G180" s="56"/>
      <c r="H180" s="56"/>
      <c r="I180" s="56"/>
      <c r="J180" s="56"/>
    </row>
    <row r="181">
      <c r="A181" s="55"/>
      <c r="B181" s="56"/>
      <c r="C181" s="56"/>
      <c r="D181" s="56"/>
      <c r="E181" s="56"/>
      <c r="F181" s="56"/>
      <c r="G181" s="56"/>
      <c r="H181" s="56"/>
      <c r="I181" s="56"/>
      <c r="J181" s="56"/>
    </row>
    <row r="182">
      <c r="A182" s="55"/>
      <c r="B182" s="56"/>
      <c r="C182" s="56"/>
      <c r="D182" s="56"/>
      <c r="E182" s="56"/>
      <c r="F182" s="56"/>
      <c r="G182" s="56"/>
      <c r="H182" s="56"/>
      <c r="I182" s="56"/>
      <c r="J182" s="56"/>
    </row>
    <row r="183">
      <c r="A183" s="55"/>
      <c r="B183" s="56"/>
      <c r="C183" s="56"/>
      <c r="D183" s="56"/>
      <c r="E183" s="56"/>
      <c r="F183" s="56"/>
      <c r="G183" s="56"/>
      <c r="H183" s="56"/>
      <c r="I183" s="56"/>
      <c r="J183" s="56"/>
    </row>
    <row r="184">
      <c r="A184" s="55"/>
      <c r="B184" s="56"/>
      <c r="C184" s="56"/>
      <c r="D184" s="56"/>
      <c r="E184" s="56"/>
      <c r="F184" s="56"/>
      <c r="G184" s="56"/>
      <c r="H184" s="56"/>
      <c r="I184" s="56"/>
      <c r="J184" s="56"/>
    </row>
    <row r="185">
      <c r="A185" s="55"/>
      <c r="B185" s="56"/>
      <c r="C185" s="56"/>
      <c r="D185" s="56"/>
      <c r="E185" s="56"/>
      <c r="F185" s="56"/>
      <c r="G185" s="56"/>
      <c r="H185" s="56"/>
      <c r="I185" s="56"/>
      <c r="J185" s="56"/>
    </row>
    <row r="186">
      <c r="A186" s="55"/>
      <c r="B186" s="56"/>
      <c r="C186" s="56"/>
      <c r="D186" s="56"/>
      <c r="E186" s="56"/>
      <c r="F186" s="56"/>
      <c r="G186" s="56"/>
      <c r="H186" s="56"/>
      <c r="I186" s="56"/>
      <c r="J186" s="56"/>
    </row>
    <row r="187">
      <c r="A187" s="55"/>
      <c r="B187" s="56"/>
      <c r="C187" s="56"/>
      <c r="D187" s="56"/>
      <c r="E187" s="56"/>
      <c r="F187" s="56"/>
      <c r="G187" s="56"/>
      <c r="H187" s="56"/>
      <c r="I187" s="56"/>
      <c r="J187" s="56"/>
    </row>
    <row r="188">
      <c r="A188" s="55"/>
      <c r="B188" s="56"/>
      <c r="C188" s="56"/>
      <c r="D188" s="56"/>
      <c r="E188" s="56"/>
      <c r="F188" s="56"/>
      <c r="G188" s="56"/>
      <c r="H188" s="56"/>
      <c r="I188" s="56"/>
      <c r="J188" s="56"/>
    </row>
    <row r="189">
      <c r="A189" s="55"/>
      <c r="B189" s="56"/>
      <c r="C189" s="56"/>
      <c r="D189" s="56"/>
      <c r="E189" s="56"/>
      <c r="F189" s="56"/>
      <c r="G189" s="56"/>
      <c r="H189" s="56"/>
      <c r="I189" s="56"/>
      <c r="J189" s="56"/>
    </row>
    <row r="190">
      <c r="A190" s="55"/>
      <c r="B190" s="56"/>
      <c r="C190" s="56"/>
      <c r="D190" s="56"/>
      <c r="E190" s="56"/>
      <c r="F190" s="56"/>
      <c r="G190" s="56"/>
      <c r="H190" s="56"/>
      <c r="I190" s="56"/>
      <c r="J190" s="56"/>
    </row>
    <row r="191">
      <c r="A191" s="55"/>
      <c r="B191" s="56"/>
      <c r="C191" s="56"/>
      <c r="D191" s="56"/>
      <c r="E191" s="56"/>
      <c r="F191" s="56"/>
      <c r="G191" s="56"/>
      <c r="H191" s="56"/>
      <c r="I191" s="56"/>
      <c r="J191" s="56"/>
    </row>
    <row r="192">
      <c r="A192" s="55"/>
      <c r="B192" s="56"/>
      <c r="C192" s="56"/>
      <c r="D192" s="56"/>
      <c r="E192" s="56"/>
      <c r="F192" s="56"/>
      <c r="G192" s="56"/>
      <c r="H192" s="56"/>
      <c r="I192" s="56"/>
      <c r="J192" s="56"/>
    </row>
    <row r="193">
      <c r="A193" s="55"/>
      <c r="B193" s="56"/>
      <c r="C193" s="56"/>
      <c r="D193" s="56"/>
      <c r="E193" s="56"/>
      <c r="F193" s="56"/>
      <c r="G193" s="56"/>
      <c r="H193" s="56"/>
      <c r="I193" s="56"/>
      <c r="J193" s="56"/>
    </row>
    <row r="194">
      <c r="A194" s="55"/>
      <c r="B194" s="56"/>
      <c r="C194" s="56"/>
      <c r="D194" s="56"/>
      <c r="E194" s="56"/>
      <c r="F194" s="56"/>
      <c r="G194" s="56"/>
      <c r="H194" s="56"/>
      <c r="I194" s="56"/>
      <c r="J194" s="56"/>
    </row>
    <row r="195">
      <c r="A195" s="55"/>
      <c r="B195" s="56"/>
      <c r="C195" s="56"/>
      <c r="D195" s="56"/>
      <c r="E195" s="56"/>
      <c r="F195" s="56"/>
      <c r="G195" s="56"/>
      <c r="H195" s="56"/>
      <c r="I195" s="56"/>
      <c r="J195" s="56"/>
    </row>
    <row r="196">
      <c r="A196" s="55"/>
      <c r="B196" s="56"/>
      <c r="C196" s="56"/>
      <c r="D196" s="56"/>
      <c r="E196" s="56"/>
      <c r="F196" s="56"/>
      <c r="G196" s="56"/>
      <c r="H196" s="56"/>
      <c r="I196" s="56"/>
      <c r="J196" s="56"/>
    </row>
    <row r="197">
      <c r="A197" s="55"/>
      <c r="B197" s="56"/>
      <c r="C197" s="56"/>
      <c r="D197" s="56"/>
      <c r="E197" s="56"/>
      <c r="F197" s="56"/>
      <c r="G197" s="56"/>
      <c r="H197" s="56"/>
      <c r="I197" s="56"/>
      <c r="J197" s="56"/>
    </row>
    <row r="198">
      <c r="A198" s="55"/>
      <c r="B198" s="56"/>
      <c r="C198" s="56"/>
      <c r="D198" s="56"/>
      <c r="E198" s="56"/>
      <c r="F198" s="56"/>
      <c r="G198" s="56"/>
      <c r="H198" s="56"/>
      <c r="I198" s="56"/>
      <c r="J198" s="56"/>
    </row>
    <row r="199">
      <c r="A199" s="55"/>
      <c r="B199" s="56"/>
      <c r="C199" s="56"/>
      <c r="D199" s="56"/>
      <c r="E199" s="56"/>
      <c r="F199" s="56"/>
      <c r="G199" s="56"/>
      <c r="H199" s="56"/>
      <c r="I199" s="56"/>
      <c r="J199" s="56"/>
    </row>
    <row r="200">
      <c r="A200" s="55"/>
      <c r="B200" s="56"/>
      <c r="C200" s="56"/>
      <c r="D200" s="56"/>
      <c r="E200" s="56"/>
      <c r="F200" s="56"/>
      <c r="G200" s="56"/>
      <c r="H200" s="56"/>
      <c r="I200" s="56"/>
      <c r="J200" s="56"/>
    </row>
    <row r="201">
      <c r="A201" s="55"/>
      <c r="B201" s="56"/>
      <c r="C201" s="56"/>
      <c r="D201" s="56"/>
      <c r="E201" s="56"/>
      <c r="F201" s="56"/>
      <c r="G201" s="56"/>
      <c r="H201" s="56"/>
      <c r="I201" s="56"/>
      <c r="J201" s="56"/>
    </row>
    <row r="202">
      <c r="A202" s="55"/>
      <c r="B202" s="56"/>
      <c r="C202" s="56"/>
      <c r="D202" s="56"/>
      <c r="E202" s="56"/>
      <c r="F202" s="56"/>
      <c r="G202" s="56"/>
      <c r="H202" s="56"/>
      <c r="I202" s="56"/>
      <c r="J202" s="56"/>
    </row>
    <row r="203">
      <c r="A203" s="55"/>
      <c r="B203" s="56"/>
      <c r="C203" s="56"/>
      <c r="D203" s="56"/>
      <c r="E203" s="56"/>
      <c r="F203" s="56"/>
      <c r="G203" s="56"/>
      <c r="H203" s="56"/>
      <c r="I203" s="56"/>
      <c r="J203" s="56"/>
    </row>
    <row r="204">
      <c r="A204" s="55"/>
      <c r="B204" s="56"/>
      <c r="C204" s="56"/>
      <c r="D204" s="56"/>
      <c r="E204" s="56"/>
      <c r="F204" s="56"/>
      <c r="G204" s="56"/>
      <c r="H204" s="56"/>
      <c r="I204" s="56"/>
      <c r="J204" s="56"/>
    </row>
    <row r="205">
      <c r="A205" s="55"/>
      <c r="B205" s="56"/>
      <c r="C205" s="56"/>
      <c r="D205" s="56"/>
      <c r="E205" s="56"/>
      <c r="F205" s="56"/>
      <c r="G205" s="56"/>
      <c r="H205" s="56"/>
      <c r="I205" s="56"/>
      <c r="J205" s="56"/>
    </row>
    <row r="206">
      <c r="A206" s="55"/>
      <c r="B206" s="56"/>
      <c r="C206" s="56"/>
      <c r="D206" s="56"/>
      <c r="E206" s="56"/>
      <c r="F206" s="56"/>
      <c r="G206" s="56"/>
      <c r="H206" s="56"/>
      <c r="I206" s="56"/>
      <c r="J206" s="56"/>
    </row>
    <row r="207">
      <c r="A207" s="55"/>
      <c r="B207" s="56"/>
      <c r="C207" s="56"/>
      <c r="D207" s="56"/>
      <c r="E207" s="56"/>
      <c r="F207" s="56"/>
      <c r="G207" s="56"/>
      <c r="H207" s="56"/>
      <c r="I207" s="56"/>
      <c r="J207" s="56"/>
    </row>
    <row r="208">
      <c r="A208" s="55"/>
      <c r="B208" s="56"/>
      <c r="C208" s="56"/>
      <c r="D208" s="56"/>
      <c r="E208" s="56"/>
      <c r="F208" s="56"/>
      <c r="G208" s="56"/>
      <c r="H208" s="56"/>
      <c r="I208" s="56"/>
      <c r="J208" s="56"/>
    </row>
    <row r="209">
      <c r="A209" s="55"/>
      <c r="B209" s="56"/>
      <c r="C209" s="56"/>
      <c r="D209" s="56"/>
      <c r="E209" s="56"/>
      <c r="F209" s="56"/>
      <c r="G209" s="56"/>
      <c r="H209" s="56"/>
      <c r="I209" s="56"/>
      <c r="J209" s="56"/>
    </row>
    <row r="210">
      <c r="A210" s="55"/>
      <c r="B210" s="56"/>
      <c r="C210" s="56"/>
      <c r="D210" s="56"/>
      <c r="E210" s="56"/>
      <c r="F210" s="56"/>
      <c r="G210" s="56"/>
      <c r="H210" s="56"/>
      <c r="I210" s="56"/>
      <c r="J210" s="56"/>
    </row>
    <row r="211">
      <c r="A211" s="55"/>
      <c r="B211" s="56"/>
      <c r="C211" s="56"/>
      <c r="D211" s="56"/>
      <c r="E211" s="56"/>
      <c r="F211" s="56"/>
      <c r="G211" s="56"/>
      <c r="H211" s="56"/>
      <c r="I211" s="56"/>
      <c r="J211" s="56"/>
    </row>
    <row r="212">
      <c r="A212" s="55"/>
      <c r="B212" s="56"/>
      <c r="C212" s="56"/>
      <c r="D212" s="56"/>
      <c r="E212" s="56"/>
      <c r="F212" s="56"/>
      <c r="G212" s="56"/>
      <c r="H212" s="56"/>
      <c r="I212" s="56"/>
      <c r="J212" s="56"/>
    </row>
    <row r="213">
      <c r="A213" s="55"/>
      <c r="B213" s="56"/>
      <c r="C213" s="56"/>
      <c r="D213" s="56"/>
      <c r="E213" s="56"/>
      <c r="F213" s="56"/>
      <c r="G213" s="56"/>
      <c r="H213" s="56"/>
      <c r="I213" s="56"/>
      <c r="J213" s="56"/>
    </row>
    <row r="214">
      <c r="A214" s="55"/>
      <c r="B214" s="56"/>
      <c r="C214" s="56"/>
      <c r="D214" s="56"/>
      <c r="E214" s="56"/>
      <c r="F214" s="56"/>
      <c r="G214" s="56"/>
      <c r="H214" s="56"/>
      <c r="I214" s="56"/>
      <c r="J214" s="56"/>
    </row>
    <row r="215">
      <c r="A215" s="55"/>
      <c r="B215" s="56"/>
      <c r="C215" s="56"/>
      <c r="D215" s="56"/>
      <c r="E215" s="56"/>
      <c r="F215" s="56"/>
      <c r="G215" s="56"/>
      <c r="H215" s="56"/>
      <c r="I215" s="56"/>
      <c r="J215" s="56"/>
    </row>
    <row r="216">
      <c r="A216" s="55"/>
      <c r="B216" s="56"/>
      <c r="C216" s="56"/>
      <c r="D216" s="56"/>
      <c r="E216" s="56"/>
      <c r="F216" s="56"/>
      <c r="G216" s="56"/>
      <c r="H216" s="56"/>
      <c r="I216" s="56"/>
      <c r="J216" s="56"/>
    </row>
    <row r="217">
      <c r="A217" s="55"/>
      <c r="B217" s="56"/>
      <c r="C217" s="56"/>
      <c r="D217" s="56"/>
      <c r="E217" s="56"/>
      <c r="F217" s="56"/>
      <c r="G217" s="56"/>
      <c r="H217" s="56"/>
      <c r="I217" s="56"/>
      <c r="J217" s="56"/>
    </row>
    <row r="218">
      <c r="A218" s="55"/>
      <c r="B218" s="56"/>
      <c r="C218" s="56"/>
      <c r="D218" s="56"/>
      <c r="E218" s="56"/>
      <c r="F218" s="56"/>
      <c r="G218" s="56"/>
      <c r="H218" s="56"/>
      <c r="I218" s="56"/>
      <c r="J218" s="56"/>
    </row>
    <row r="219">
      <c r="A219" s="55"/>
      <c r="B219" s="56"/>
      <c r="C219" s="56"/>
      <c r="D219" s="56"/>
      <c r="E219" s="56"/>
      <c r="F219" s="56"/>
      <c r="G219" s="56"/>
      <c r="H219" s="56"/>
      <c r="I219" s="56"/>
      <c r="J219" s="56"/>
    </row>
    <row r="220">
      <c r="A220" s="55"/>
      <c r="B220" s="56"/>
      <c r="C220" s="56"/>
      <c r="D220" s="56"/>
      <c r="E220" s="56"/>
      <c r="F220" s="56"/>
      <c r="G220" s="56"/>
      <c r="H220" s="56"/>
      <c r="I220" s="56"/>
      <c r="J220" s="56"/>
    </row>
    <row r="221">
      <c r="A221" s="55"/>
      <c r="B221" s="56"/>
      <c r="C221" s="56"/>
      <c r="D221" s="56"/>
      <c r="E221" s="56"/>
      <c r="F221" s="56"/>
      <c r="G221" s="56"/>
      <c r="H221" s="56"/>
      <c r="I221" s="56"/>
      <c r="J221" s="56"/>
    </row>
    <row r="222">
      <c r="A222" s="55"/>
      <c r="B222" s="56"/>
      <c r="C222" s="56"/>
      <c r="D222" s="56"/>
      <c r="E222" s="56"/>
      <c r="F222" s="56"/>
      <c r="G222" s="56"/>
      <c r="H222" s="56"/>
      <c r="I222" s="56"/>
      <c r="J222" s="56"/>
    </row>
    <row r="223">
      <c r="A223" s="55"/>
      <c r="B223" s="56"/>
      <c r="C223" s="56"/>
      <c r="D223" s="56"/>
      <c r="E223" s="56"/>
      <c r="F223" s="56"/>
      <c r="G223" s="56"/>
      <c r="H223" s="56"/>
      <c r="I223" s="56"/>
      <c r="J223" s="56"/>
    </row>
    <row r="224">
      <c r="A224" s="55"/>
      <c r="B224" s="56"/>
      <c r="C224" s="56"/>
      <c r="D224" s="56"/>
      <c r="E224" s="56"/>
      <c r="F224" s="56"/>
      <c r="G224" s="56"/>
      <c r="H224" s="56"/>
      <c r="I224" s="56"/>
      <c r="J224" s="56"/>
    </row>
    <row r="225">
      <c r="A225" s="55"/>
      <c r="B225" s="56"/>
      <c r="C225" s="56"/>
      <c r="D225" s="56"/>
      <c r="E225" s="56"/>
      <c r="F225" s="56"/>
      <c r="G225" s="56"/>
      <c r="H225" s="56"/>
      <c r="I225" s="56"/>
      <c r="J225" s="56"/>
    </row>
    <row r="226">
      <c r="A226" s="55"/>
      <c r="B226" s="56"/>
      <c r="C226" s="56"/>
      <c r="D226" s="56"/>
      <c r="E226" s="56"/>
      <c r="F226" s="56"/>
      <c r="G226" s="56"/>
      <c r="H226" s="56"/>
      <c r="I226" s="56"/>
      <c r="J226" s="56"/>
    </row>
    <row r="227">
      <c r="A227" s="55"/>
      <c r="B227" s="56"/>
      <c r="C227" s="56"/>
      <c r="D227" s="56"/>
      <c r="E227" s="56"/>
      <c r="F227" s="56"/>
      <c r="G227" s="56"/>
      <c r="H227" s="56"/>
      <c r="I227" s="56"/>
      <c r="J227" s="56"/>
    </row>
    <row r="228">
      <c r="A228" s="55"/>
      <c r="B228" s="56"/>
      <c r="C228" s="56"/>
      <c r="D228" s="56"/>
      <c r="E228" s="56"/>
      <c r="F228" s="56"/>
      <c r="G228" s="56"/>
      <c r="H228" s="56"/>
      <c r="I228" s="56"/>
      <c r="J228" s="56"/>
    </row>
    <row r="229">
      <c r="A229" s="55"/>
      <c r="B229" s="56"/>
      <c r="C229" s="56"/>
      <c r="D229" s="56"/>
      <c r="E229" s="56"/>
      <c r="F229" s="56"/>
      <c r="G229" s="56"/>
      <c r="H229" s="56"/>
      <c r="I229" s="56"/>
      <c r="J229" s="56"/>
    </row>
    <row r="230">
      <c r="A230" s="55"/>
      <c r="B230" s="56"/>
      <c r="C230" s="56"/>
      <c r="D230" s="56"/>
      <c r="E230" s="56"/>
      <c r="F230" s="56"/>
      <c r="G230" s="56"/>
      <c r="H230" s="56"/>
      <c r="I230" s="56"/>
      <c r="J230" s="56"/>
    </row>
    <row r="231">
      <c r="A231" s="55"/>
      <c r="B231" s="56"/>
      <c r="C231" s="56"/>
      <c r="D231" s="56"/>
      <c r="E231" s="56"/>
      <c r="F231" s="56"/>
      <c r="G231" s="56"/>
      <c r="H231" s="56"/>
      <c r="I231" s="56"/>
      <c r="J231" s="56"/>
    </row>
    <row r="232">
      <c r="A232" s="55"/>
      <c r="B232" s="56"/>
      <c r="C232" s="56"/>
      <c r="D232" s="56"/>
      <c r="E232" s="56"/>
      <c r="F232" s="56"/>
      <c r="G232" s="56"/>
      <c r="H232" s="56"/>
      <c r="I232" s="56"/>
      <c r="J232" s="56"/>
    </row>
    <row r="233">
      <c r="A233" s="55"/>
      <c r="B233" s="56"/>
      <c r="C233" s="56"/>
      <c r="D233" s="56"/>
      <c r="E233" s="56"/>
      <c r="F233" s="56"/>
      <c r="G233" s="56"/>
      <c r="H233" s="56"/>
      <c r="I233" s="56"/>
      <c r="J233" s="56"/>
    </row>
    <row r="234">
      <c r="A234" s="55"/>
      <c r="B234" s="56"/>
      <c r="C234" s="56"/>
      <c r="D234" s="56"/>
      <c r="E234" s="56"/>
      <c r="F234" s="56"/>
      <c r="G234" s="56"/>
      <c r="H234" s="56"/>
      <c r="I234" s="56"/>
      <c r="J234" s="56"/>
    </row>
    <row r="235">
      <c r="A235" s="55"/>
      <c r="B235" s="56"/>
      <c r="C235" s="56"/>
      <c r="D235" s="56"/>
      <c r="E235" s="56"/>
      <c r="F235" s="56"/>
      <c r="G235" s="56"/>
      <c r="H235" s="56"/>
      <c r="I235" s="56"/>
      <c r="J235" s="56"/>
    </row>
    <row r="236">
      <c r="A236" s="55"/>
      <c r="B236" s="56"/>
      <c r="C236" s="56"/>
      <c r="D236" s="56"/>
      <c r="E236" s="56"/>
      <c r="F236" s="56"/>
      <c r="G236" s="56"/>
      <c r="H236" s="56"/>
      <c r="I236" s="56"/>
      <c r="J236" s="56"/>
    </row>
    <row r="237">
      <c r="A237" s="55"/>
      <c r="B237" s="56"/>
      <c r="C237" s="56"/>
      <c r="D237" s="56"/>
      <c r="E237" s="56"/>
      <c r="F237" s="56"/>
      <c r="G237" s="56"/>
      <c r="H237" s="56"/>
      <c r="I237" s="56"/>
      <c r="J237" s="56"/>
    </row>
    <row r="238">
      <c r="A238" s="55"/>
      <c r="B238" s="56"/>
      <c r="C238" s="56"/>
      <c r="D238" s="56"/>
      <c r="E238" s="56"/>
      <c r="F238" s="56"/>
      <c r="G238" s="56"/>
      <c r="H238" s="56"/>
      <c r="I238" s="56"/>
      <c r="J238" s="56"/>
    </row>
    <row r="239">
      <c r="A239" s="55"/>
      <c r="B239" s="56"/>
      <c r="C239" s="56"/>
      <c r="D239" s="56"/>
      <c r="E239" s="56"/>
      <c r="F239" s="56"/>
      <c r="G239" s="56"/>
      <c r="H239" s="56"/>
      <c r="I239" s="56"/>
      <c r="J239" s="56"/>
    </row>
    <row r="240">
      <c r="A240" s="55"/>
      <c r="B240" s="56"/>
      <c r="C240" s="56"/>
      <c r="D240" s="56"/>
      <c r="E240" s="56"/>
      <c r="F240" s="56"/>
      <c r="G240" s="56"/>
      <c r="H240" s="56"/>
      <c r="I240" s="56"/>
      <c r="J240" s="56"/>
    </row>
    <row r="241">
      <c r="A241" s="55"/>
      <c r="B241" s="56"/>
      <c r="C241" s="56"/>
      <c r="D241" s="56"/>
      <c r="E241" s="56"/>
      <c r="F241" s="56"/>
      <c r="G241" s="56"/>
      <c r="H241" s="56"/>
      <c r="I241" s="56"/>
      <c r="J241" s="56"/>
    </row>
    <row r="242">
      <c r="A242" s="55"/>
      <c r="B242" s="56"/>
      <c r="C242" s="56"/>
      <c r="D242" s="56"/>
      <c r="E242" s="56"/>
      <c r="F242" s="56"/>
      <c r="G242" s="56"/>
      <c r="H242" s="56"/>
      <c r="I242" s="56"/>
      <c r="J242" s="56"/>
    </row>
    <row r="243">
      <c r="A243" s="55"/>
      <c r="B243" s="56"/>
      <c r="C243" s="56"/>
      <c r="D243" s="56"/>
      <c r="E243" s="56"/>
      <c r="F243" s="56"/>
      <c r="G243" s="56"/>
      <c r="H243" s="56"/>
      <c r="I243" s="56"/>
      <c r="J243" s="56"/>
    </row>
    <row r="244">
      <c r="A244" s="55"/>
      <c r="B244" s="56"/>
      <c r="C244" s="56"/>
      <c r="D244" s="56"/>
      <c r="E244" s="56"/>
      <c r="F244" s="56"/>
      <c r="G244" s="56"/>
      <c r="H244" s="56"/>
      <c r="I244" s="56"/>
      <c r="J244" s="56"/>
    </row>
    <row r="245">
      <c r="A245" s="55"/>
      <c r="B245" s="56"/>
      <c r="C245" s="56"/>
      <c r="D245" s="56"/>
      <c r="E245" s="56"/>
      <c r="F245" s="56"/>
      <c r="G245" s="56"/>
      <c r="H245" s="56"/>
      <c r="I245" s="56"/>
      <c r="J245" s="56"/>
    </row>
    <row r="246">
      <c r="A246" s="55"/>
      <c r="B246" s="56"/>
      <c r="C246" s="56"/>
      <c r="D246" s="56"/>
      <c r="E246" s="56"/>
      <c r="F246" s="56"/>
      <c r="G246" s="56"/>
      <c r="H246" s="56"/>
      <c r="I246" s="56"/>
      <c r="J246" s="56"/>
    </row>
    <row r="247">
      <c r="A247" s="55"/>
      <c r="B247" s="56"/>
      <c r="C247" s="56"/>
      <c r="D247" s="56"/>
      <c r="E247" s="56"/>
      <c r="F247" s="56"/>
      <c r="G247" s="56"/>
      <c r="H247" s="56"/>
      <c r="I247" s="56"/>
      <c r="J247" s="56"/>
    </row>
    <row r="248">
      <c r="A248" s="55"/>
      <c r="B248" s="56"/>
      <c r="C248" s="56"/>
      <c r="D248" s="56"/>
      <c r="E248" s="56"/>
      <c r="F248" s="56"/>
      <c r="G248" s="56"/>
      <c r="H248" s="56"/>
      <c r="I248" s="56"/>
      <c r="J248" s="56"/>
    </row>
    <row r="249">
      <c r="A249" s="55"/>
      <c r="B249" s="56"/>
      <c r="C249" s="56"/>
      <c r="D249" s="56"/>
      <c r="E249" s="56"/>
      <c r="F249" s="56"/>
      <c r="G249" s="56"/>
      <c r="H249" s="56"/>
      <c r="I249" s="56"/>
      <c r="J249" s="56"/>
    </row>
    <row r="250">
      <c r="A250" s="55"/>
      <c r="B250" s="56"/>
      <c r="C250" s="56"/>
      <c r="D250" s="56"/>
      <c r="E250" s="56"/>
      <c r="F250" s="56"/>
      <c r="G250" s="56"/>
      <c r="H250" s="56"/>
      <c r="I250" s="56"/>
      <c r="J250" s="56"/>
    </row>
    <row r="251">
      <c r="A251" s="55"/>
      <c r="B251" s="56"/>
      <c r="C251" s="56"/>
      <c r="D251" s="56"/>
      <c r="E251" s="56"/>
      <c r="F251" s="56"/>
      <c r="G251" s="56"/>
      <c r="H251" s="56"/>
      <c r="I251" s="56"/>
      <c r="J251" s="56"/>
    </row>
    <row r="252">
      <c r="A252" s="55"/>
      <c r="B252" s="56"/>
      <c r="C252" s="56"/>
      <c r="D252" s="56"/>
      <c r="E252" s="56"/>
      <c r="F252" s="56"/>
      <c r="G252" s="56"/>
      <c r="H252" s="56"/>
      <c r="I252" s="56"/>
      <c r="J252" s="56"/>
    </row>
    <row r="253">
      <c r="A253" s="55"/>
      <c r="B253" s="56"/>
      <c r="C253" s="56"/>
      <c r="D253" s="56"/>
      <c r="E253" s="56"/>
      <c r="F253" s="56"/>
      <c r="G253" s="56"/>
      <c r="H253" s="56"/>
      <c r="I253" s="56"/>
      <c r="J253" s="56"/>
    </row>
    <row r="254">
      <c r="A254" s="55"/>
      <c r="B254" s="56"/>
      <c r="C254" s="56"/>
      <c r="D254" s="56"/>
      <c r="E254" s="56"/>
      <c r="F254" s="56"/>
      <c r="G254" s="56"/>
      <c r="H254" s="56"/>
      <c r="I254" s="56"/>
      <c r="J254" s="56"/>
    </row>
    <row r="255">
      <c r="A255" s="55"/>
      <c r="B255" s="56"/>
      <c r="C255" s="56"/>
      <c r="D255" s="56"/>
      <c r="E255" s="56"/>
      <c r="F255" s="56"/>
      <c r="G255" s="56"/>
      <c r="H255" s="56"/>
      <c r="I255" s="56"/>
      <c r="J255" s="56"/>
    </row>
    <row r="256">
      <c r="A256" s="55"/>
      <c r="B256" s="56"/>
      <c r="C256" s="56"/>
      <c r="D256" s="56"/>
      <c r="E256" s="56"/>
      <c r="F256" s="56"/>
      <c r="G256" s="56"/>
      <c r="H256" s="56"/>
      <c r="I256" s="56"/>
      <c r="J256" s="56"/>
    </row>
    <row r="257">
      <c r="A257" s="55"/>
      <c r="B257" s="56"/>
      <c r="C257" s="56"/>
      <c r="D257" s="56"/>
      <c r="E257" s="56"/>
      <c r="F257" s="56"/>
      <c r="G257" s="56"/>
      <c r="H257" s="56"/>
      <c r="I257" s="56"/>
      <c r="J257" s="56"/>
    </row>
    <row r="258">
      <c r="A258" s="55"/>
      <c r="B258" s="56"/>
      <c r="C258" s="56"/>
      <c r="D258" s="56"/>
      <c r="E258" s="56"/>
      <c r="F258" s="56"/>
      <c r="G258" s="56"/>
      <c r="H258" s="56"/>
      <c r="I258" s="56"/>
      <c r="J258" s="56"/>
    </row>
    <row r="259">
      <c r="A259" s="55"/>
      <c r="B259" s="56"/>
      <c r="C259" s="56"/>
      <c r="D259" s="56"/>
      <c r="E259" s="56"/>
      <c r="F259" s="56"/>
      <c r="G259" s="56"/>
      <c r="H259" s="56"/>
      <c r="I259" s="56"/>
      <c r="J259" s="56"/>
    </row>
    <row r="260">
      <c r="A260" s="55"/>
      <c r="B260" s="56"/>
      <c r="C260" s="56"/>
      <c r="D260" s="56"/>
      <c r="E260" s="56"/>
      <c r="F260" s="56"/>
      <c r="G260" s="56"/>
      <c r="H260" s="56"/>
      <c r="I260" s="56"/>
      <c r="J260" s="56"/>
    </row>
    <row r="261">
      <c r="A261" s="55"/>
      <c r="B261" s="56"/>
      <c r="C261" s="56"/>
      <c r="D261" s="56"/>
      <c r="E261" s="56"/>
      <c r="F261" s="56"/>
      <c r="G261" s="56"/>
      <c r="H261" s="56"/>
      <c r="I261" s="56"/>
      <c r="J261" s="56"/>
    </row>
    <row r="262">
      <c r="A262" s="55"/>
      <c r="B262" s="56"/>
      <c r="C262" s="56"/>
      <c r="D262" s="56"/>
      <c r="E262" s="56"/>
      <c r="F262" s="56"/>
      <c r="G262" s="56"/>
      <c r="H262" s="56"/>
      <c r="I262" s="56"/>
      <c r="J262" s="56"/>
    </row>
    <row r="263">
      <c r="A263" s="55"/>
      <c r="B263" s="56"/>
      <c r="C263" s="56"/>
      <c r="D263" s="56"/>
      <c r="E263" s="56"/>
      <c r="F263" s="56"/>
      <c r="G263" s="56"/>
      <c r="H263" s="56"/>
      <c r="I263" s="56"/>
      <c r="J263" s="56"/>
    </row>
    <row r="264">
      <c r="A264" s="55"/>
      <c r="B264" s="56"/>
      <c r="C264" s="56"/>
      <c r="D264" s="56"/>
      <c r="E264" s="56"/>
      <c r="F264" s="56"/>
      <c r="G264" s="56"/>
      <c r="H264" s="56"/>
      <c r="I264" s="56"/>
      <c r="J264" s="56"/>
    </row>
    <row r="265">
      <c r="A265" s="55"/>
      <c r="B265" s="56"/>
      <c r="C265" s="56"/>
      <c r="D265" s="56"/>
      <c r="E265" s="56"/>
      <c r="F265" s="56"/>
      <c r="G265" s="56"/>
      <c r="H265" s="56"/>
      <c r="I265" s="56"/>
      <c r="J265" s="56"/>
    </row>
    <row r="266">
      <c r="A266" s="55"/>
      <c r="B266" s="56"/>
      <c r="C266" s="56"/>
      <c r="D266" s="56"/>
      <c r="E266" s="56"/>
      <c r="F266" s="56"/>
      <c r="G266" s="56"/>
      <c r="H266" s="56"/>
      <c r="I266" s="56"/>
      <c r="J266" s="56"/>
    </row>
    <row r="267">
      <c r="A267" s="55"/>
      <c r="B267" s="56"/>
      <c r="C267" s="56"/>
      <c r="D267" s="56"/>
      <c r="E267" s="56"/>
      <c r="F267" s="56"/>
      <c r="G267" s="56"/>
      <c r="H267" s="56"/>
      <c r="I267" s="56"/>
      <c r="J267" s="56"/>
    </row>
    <row r="268">
      <c r="A268" s="55"/>
      <c r="B268" s="56"/>
      <c r="C268" s="56"/>
      <c r="D268" s="56"/>
      <c r="E268" s="56"/>
      <c r="F268" s="56"/>
      <c r="G268" s="56"/>
      <c r="H268" s="56"/>
      <c r="I268" s="56"/>
      <c r="J268" s="56"/>
    </row>
    <row r="269">
      <c r="A269" s="55"/>
      <c r="B269" s="56"/>
      <c r="C269" s="56"/>
      <c r="D269" s="56"/>
      <c r="E269" s="56"/>
      <c r="F269" s="56"/>
      <c r="G269" s="56"/>
      <c r="H269" s="56"/>
      <c r="I269" s="56"/>
      <c r="J269" s="56"/>
    </row>
    <row r="270">
      <c r="A270" s="55"/>
      <c r="B270" s="56"/>
      <c r="C270" s="56"/>
      <c r="D270" s="56"/>
      <c r="E270" s="56"/>
      <c r="F270" s="56"/>
      <c r="G270" s="56"/>
      <c r="H270" s="56"/>
      <c r="I270" s="56"/>
      <c r="J270" s="56"/>
    </row>
    <row r="271">
      <c r="A271" s="55"/>
      <c r="B271" s="56"/>
      <c r="C271" s="56"/>
      <c r="D271" s="56"/>
      <c r="E271" s="56"/>
      <c r="F271" s="56"/>
      <c r="G271" s="56"/>
      <c r="H271" s="56"/>
      <c r="I271" s="56"/>
      <c r="J271" s="56"/>
    </row>
    <row r="272">
      <c r="A272" s="55"/>
      <c r="B272" s="56"/>
      <c r="C272" s="56"/>
      <c r="D272" s="56"/>
      <c r="E272" s="56"/>
      <c r="F272" s="56"/>
      <c r="G272" s="56"/>
      <c r="H272" s="56"/>
      <c r="I272" s="56"/>
      <c r="J272" s="56"/>
    </row>
    <row r="273">
      <c r="A273" s="55"/>
      <c r="B273" s="56"/>
      <c r="C273" s="56"/>
      <c r="D273" s="56"/>
      <c r="E273" s="56"/>
      <c r="F273" s="56"/>
      <c r="G273" s="56"/>
      <c r="H273" s="56"/>
      <c r="I273" s="56"/>
      <c r="J273" s="56"/>
    </row>
    <row r="274">
      <c r="A274" s="55"/>
      <c r="B274" s="56"/>
      <c r="C274" s="56"/>
      <c r="D274" s="56"/>
      <c r="E274" s="56"/>
      <c r="F274" s="56"/>
      <c r="G274" s="56"/>
      <c r="H274" s="56"/>
      <c r="I274" s="56"/>
      <c r="J274" s="56"/>
    </row>
    <row r="275">
      <c r="A275" s="55"/>
      <c r="B275" s="56"/>
      <c r="C275" s="56"/>
      <c r="D275" s="56"/>
      <c r="E275" s="56"/>
      <c r="F275" s="56"/>
      <c r="G275" s="56"/>
      <c r="H275" s="56"/>
      <c r="I275" s="56"/>
      <c r="J275" s="56"/>
    </row>
    <row r="276">
      <c r="A276" s="55"/>
      <c r="B276" s="56"/>
      <c r="C276" s="56"/>
      <c r="D276" s="56"/>
      <c r="E276" s="56"/>
      <c r="F276" s="56"/>
      <c r="G276" s="56"/>
      <c r="H276" s="56"/>
      <c r="I276" s="56"/>
      <c r="J276" s="56"/>
    </row>
    <row r="277">
      <c r="A277" s="55"/>
      <c r="B277" s="56"/>
      <c r="C277" s="56"/>
      <c r="D277" s="56"/>
      <c r="E277" s="56"/>
      <c r="F277" s="56"/>
      <c r="G277" s="56"/>
      <c r="H277" s="56"/>
      <c r="I277" s="56"/>
      <c r="J277" s="56"/>
    </row>
    <row r="278">
      <c r="A278" s="55"/>
      <c r="B278" s="56"/>
      <c r="C278" s="56"/>
      <c r="D278" s="56"/>
      <c r="E278" s="56"/>
      <c r="F278" s="56"/>
      <c r="G278" s="56"/>
      <c r="H278" s="56"/>
      <c r="I278" s="56"/>
      <c r="J278" s="56"/>
    </row>
    <row r="279">
      <c r="A279" s="55"/>
      <c r="B279" s="56"/>
      <c r="C279" s="56"/>
      <c r="D279" s="56"/>
      <c r="E279" s="56"/>
      <c r="F279" s="56"/>
      <c r="G279" s="56"/>
      <c r="H279" s="56"/>
      <c r="I279" s="56"/>
      <c r="J279" s="56"/>
    </row>
    <row r="280">
      <c r="A280" s="55"/>
      <c r="B280" s="56"/>
      <c r="C280" s="56"/>
      <c r="D280" s="56"/>
      <c r="E280" s="56"/>
      <c r="F280" s="56"/>
      <c r="G280" s="56"/>
      <c r="H280" s="56"/>
      <c r="I280" s="56"/>
      <c r="J280" s="56"/>
    </row>
    <row r="281">
      <c r="A281" s="55"/>
      <c r="B281" s="56"/>
      <c r="C281" s="56"/>
      <c r="D281" s="56"/>
      <c r="E281" s="56"/>
      <c r="F281" s="56"/>
      <c r="G281" s="56"/>
      <c r="H281" s="56"/>
      <c r="I281" s="56"/>
      <c r="J281" s="56"/>
    </row>
    <row r="282">
      <c r="A282" s="55"/>
      <c r="B282" s="56"/>
      <c r="C282" s="56"/>
      <c r="D282" s="56"/>
      <c r="E282" s="56"/>
      <c r="F282" s="56"/>
      <c r="G282" s="56"/>
      <c r="H282" s="56"/>
      <c r="I282" s="56"/>
      <c r="J282" s="56"/>
    </row>
    <row r="283">
      <c r="A283" s="55"/>
      <c r="B283" s="56"/>
      <c r="C283" s="56"/>
      <c r="D283" s="56"/>
      <c r="E283" s="56"/>
      <c r="F283" s="56"/>
      <c r="G283" s="56"/>
      <c r="H283" s="56"/>
      <c r="I283" s="56"/>
      <c r="J283" s="56"/>
    </row>
    <row r="284">
      <c r="A284" s="55"/>
      <c r="B284" s="56"/>
      <c r="C284" s="56"/>
      <c r="D284" s="56"/>
      <c r="E284" s="56"/>
      <c r="F284" s="56"/>
      <c r="G284" s="56"/>
      <c r="H284" s="56"/>
      <c r="I284" s="56"/>
      <c r="J284" s="56"/>
    </row>
    <row r="285">
      <c r="A285" s="55"/>
      <c r="B285" s="56"/>
      <c r="C285" s="56"/>
      <c r="D285" s="56"/>
      <c r="E285" s="56"/>
      <c r="F285" s="56"/>
      <c r="G285" s="56"/>
      <c r="H285" s="56"/>
      <c r="I285" s="56"/>
      <c r="J285" s="56"/>
    </row>
    <row r="286">
      <c r="A286" s="55"/>
      <c r="B286" s="56"/>
      <c r="C286" s="56"/>
      <c r="D286" s="56"/>
      <c r="E286" s="56"/>
      <c r="F286" s="56"/>
      <c r="G286" s="56"/>
      <c r="H286" s="56"/>
      <c r="I286" s="56"/>
      <c r="J286" s="56"/>
    </row>
    <row r="287">
      <c r="A287" s="55"/>
      <c r="B287" s="56"/>
      <c r="C287" s="56"/>
      <c r="D287" s="56"/>
      <c r="E287" s="56"/>
      <c r="F287" s="56"/>
      <c r="G287" s="56"/>
      <c r="H287" s="56"/>
      <c r="I287" s="56"/>
      <c r="J287" s="56"/>
    </row>
    <row r="288">
      <c r="A288" s="55"/>
      <c r="B288" s="56"/>
      <c r="C288" s="56"/>
      <c r="D288" s="56"/>
      <c r="E288" s="56"/>
      <c r="F288" s="56"/>
      <c r="G288" s="56"/>
      <c r="H288" s="56"/>
      <c r="I288" s="56"/>
      <c r="J288" s="56"/>
    </row>
    <row r="289">
      <c r="A289" s="55"/>
      <c r="B289" s="56"/>
      <c r="C289" s="56"/>
      <c r="D289" s="56"/>
      <c r="E289" s="56"/>
      <c r="F289" s="56"/>
      <c r="G289" s="56"/>
      <c r="H289" s="56"/>
      <c r="I289" s="56"/>
      <c r="J289" s="56"/>
    </row>
    <row r="290">
      <c r="A290" s="55"/>
      <c r="B290" s="56"/>
      <c r="C290" s="56"/>
      <c r="D290" s="56"/>
      <c r="E290" s="56"/>
      <c r="F290" s="56"/>
      <c r="G290" s="56"/>
      <c r="H290" s="56"/>
      <c r="I290" s="56"/>
      <c r="J290" s="56"/>
    </row>
    <row r="291">
      <c r="A291" s="55"/>
      <c r="B291" s="56"/>
      <c r="C291" s="56"/>
      <c r="D291" s="56"/>
      <c r="E291" s="56"/>
      <c r="F291" s="56"/>
      <c r="G291" s="56"/>
      <c r="H291" s="56"/>
      <c r="I291" s="56"/>
      <c r="J291" s="56"/>
    </row>
    <row r="292">
      <c r="A292" s="55"/>
      <c r="B292" s="56"/>
      <c r="C292" s="56"/>
      <c r="D292" s="56"/>
      <c r="E292" s="56"/>
      <c r="F292" s="56"/>
      <c r="G292" s="56"/>
      <c r="H292" s="56"/>
      <c r="I292" s="56"/>
      <c r="J292" s="56"/>
    </row>
    <row r="293">
      <c r="A293" s="55"/>
      <c r="B293" s="56"/>
      <c r="C293" s="56"/>
      <c r="D293" s="56"/>
      <c r="E293" s="56"/>
      <c r="F293" s="56"/>
      <c r="G293" s="56"/>
      <c r="H293" s="56"/>
      <c r="I293" s="56"/>
      <c r="J293" s="56"/>
    </row>
    <row r="294">
      <c r="A294" s="55"/>
      <c r="B294" s="56"/>
      <c r="C294" s="56"/>
      <c r="D294" s="56"/>
      <c r="E294" s="56"/>
      <c r="F294" s="56"/>
      <c r="G294" s="56"/>
      <c r="H294" s="56"/>
      <c r="I294" s="56"/>
      <c r="J294" s="56"/>
    </row>
    <row r="295">
      <c r="A295" s="55"/>
      <c r="B295" s="56"/>
      <c r="C295" s="56"/>
      <c r="D295" s="56"/>
      <c r="E295" s="56"/>
      <c r="F295" s="56"/>
      <c r="G295" s="56"/>
      <c r="H295" s="56"/>
      <c r="I295" s="56"/>
      <c r="J295" s="56"/>
    </row>
    <row r="296">
      <c r="A296" s="55"/>
      <c r="B296" s="56"/>
      <c r="C296" s="56"/>
      <c r="D296" s="56"/>
      <c r="E296" s="56"/>
      <c r="F296" s="56"/>
      <c r="G296" s="56"/>
      <c r="H296" s="56"/>
      <c r="I296" s="56"/>
      <c r="J296" s="56"/>
    </row>
    <row r="297">
      <c r="A297" s="55"/>
      <c r="B297" s="56"/>
      <c r="C297" s="56"/>
      <c r="D297" s="56"/>
      <c r="E297" s="56"/>
      <c r="F297" s="56"/>
      <c r="G297" s="56"/>
      <c r="H297" s="56"/>
      <c r="I297" s="56"/>
      <c r="J297" s="56"/>
    </row>
    <row r="298">
      <c r="A298" s="55"/>
      <c r="B298" s="56"/>
      <c r="C298" s="56"/>
      <c r="D298" s="56"/>
      <c r="E298" s="56"/>
      <c r="F298" s="56"/>
      <c r="G298" s="56"/>
      <c r="H298" s="56"/>
      <c r="I298" s="56"/>
      <c r="J298" s="56"/>
    </row>
    <row r="299">
      <c r="A299" s="55"/>
      <c r="B299" s="56"/>
      <c r="C299" s="56"/>
      <c r="D299" s="56"/>
      <c r="E299" s="56"/>
      <c r="F299" s="56"/>
      <c r="G299" s="56"/>
      <c r="H299" s="56"/>
      <c r="I299" s="56"/>
      <c r="J299" s="56"/>
    </row>
    <row r="300">
      <c r="A300" s="55"/>
      <c r="B300" s="56"/>
      <c r="C300" s="56"/>
      <c r="D300" s="56"/>
      <c r="E300" s="56"/>
      <c r="F300" s="56"/>
      <c r="G300" s="56"/>
      <c r="H300" s="56"/>
      <c r="I300" s="56"/>
      <c r="J300" s="56"/>
    </row>
    <row r="301">
      <c r="A301" s="55"/>
      <c r="B301" s="56"/>
      <c r="C301" s="56"/>
      <c r="D301" s="56"/>
      <c r="E301" s="56"/>
      <c r="F301" s="56"/>
      <c r="G301" s="56"/>
      <c r="H301" s="56"/>
      <c r="I301" s="56"/>
      <c r="J301" s="56"/>
    </row>
    <row r="302">
      <c r="A302" s="55"/>
      <c r="B302" s="56"/>
      <c r="C302" s="56"/>
      <c r="D302" s="56"/>
      <c r="E302" s="56"/>
      <c r="F302" s="56"/>
      <c r="G302" s="56"/>
      <c r="H302" s="56"/>
      <c r="I302" s="56"/>
      <c r="J302" s="56"/>
    </row>
    <row r="303">
      <c r="A303" s="55"/>
      <c r="B303" s="56"/>
      <c r="C303" s="56"/>
      <c r="D303" s="56"/>
      <c r="E303" s="56"/>
      <c r="F303" s="56"/>
      <c r="G303" s="56"/>
      <c r="H303" s="56"/>
      <c r="I303" s="56"/>
      <c r="J303" s="56"/>
    </row>
    <row r="304">
      <c r="A304" s="55"/>
      <c r="B304" s="56"/>
      <c r="C304" s="56"/>
      <c r="D304" s="56"/>
      <c r="E304" s="56"/>
      <c r="F304" s="56"/>
      <c r="G304" s="56"/>
      <c r="H304" s="56"/>
      <c r="I304" s="56"/>
      <c r="J304" s="56"/>
    </row>
    <row r="305">
      <c r="A305" s="55"/>
      <c r="B305" s="56"/>
      <c r="C305" s="56"/>
      <c r="D305" s="56"/>
      <c r="E305" s="56"/>
      <c r="F305" s="56"/>
      <c r="G305" s="56"/>
      <c r="H305" s="56"/>
      <c r="I305" s="56"/>
      <c r="J305" s="56"/>
    </row>
    <row r="306">
      <c r="A306" s="55"/>
      <c r="B306" s="56"/>
      <c r="C306" s="56"/>
      <c r="D306" s="56"/>
      <c r="E306" s="56"/>
      <c r="F306" s="56"/>
      <c r="G306" s="56"/>
      <c r="H306" s="56"/>
      <c r="I306" s="56"/>
      <c r="J306" s="56"/>
    </row>
    <row r="307">
      <c r="A307" s="55"/>
      <c r="B307" s="56"/>
      <c r="C307" s="56"/>
      <c r="D307" s="56"/>
      <c r="E307" s="56"/>
      <c r="F307" s="56"/>
      <c r="G307" s="56"/>
      <c r="H307" s="56"/>
      <c r="I307" s="56"/>
      <c r="J307" s="56"/>
    </row>
    <row r="308">
      <c r="A308" s="55"/>
      <c r="B308" s="56"/>
      <c r="C308" s="56"/>
      <c r="D308" s="56"/>
      <c r="E308" s="56"/>
      <c r="F308" s="56"/>
      <c r="G308" s="56"/>
      <c r="H308" s="56"/>
      <c r="I308" s="56"/>
      <c r="J308" s="56"/>
    </row>
    <row r="309">
      <c r="A309" s="55"/>
      <c r="B309" s="56"/>
      <c r="C309" s="56"/>
      <c r="D309" s="56"/>
      <c r="E309" s="56"/>
      <c r="F309" s="56"/>
      <c r="G309" s="56"/>
      <c r="H309" s="56"/>
      <c r="I309" s="56"/>
      <c r="J309" s="56"/>
    </row>
    <row r="310">
      <c r="A310" s="55"/>
      <c r="B310" s="56"/>
      <c r="C310" s="56"/>
      <c r="D310" s="56"/>
      <c r="E310" s="56"/>
      <c r="F310" s="56"/>
      <c r="G310" s="56"/>
      <c r="H310" s="56"/>
      <c r="I310" s="56"/>
      <c r="J310" s="56"/>
    </row>
    <row r="311">
      <c r="A311" s="55"/>
      <c r="B311" s="56"/>
      <c r="C311" s="56"/>
      <c r="D311" s="56"/>
      <c r="E311" s="56"/>
      <c r="F311" s="56"/>
      <c r="G311" s="56"/>
      <c r="H311" s="56"/>
      <c r="I311" s="56"/>
      <c r="J311" s="56"/>
    </row>
    <row r="312">
      <c r="A312" s="55"/>
      <c r="B312" s="56"/>
      <c r="C312" s="56"/>
      <c r="D312" s="56"/>
      <c r="E312" s="56"/>
      <c r="F312" s="56"/>
      <c r="G312" s="56"/>
      <c r="H312" s="56"/>
      <c r="I312" s="56"/>
      <c r="J312" s="56"/>
    </row>
    <row r="313">
      <c r="A313" s="55"/>
      <c r="B313" s="56"/>
      <c r="C313" s="56"/>
      <c r="D313" s="56"/>
      <c r="E313" s="56"/>
      <c r="F313" s="56"/>
      <c r="G313" s="56"/>
      <c r="H313" s="56"/>
      <c r="I313" s="56"/>
      <c r="J313" s="56"/>
    </row>
    <row r="314">
      <c r="A314" s="55"/>
      <c r="B314" s="56"/>
      <c r="C314" s="56"/>
      <c r="D314" s="56"/>
      <c r="E314" s="56"/>
      <c r="F314" s="56"/>
      <c r="G314" s="56"/>
      <c r="H314" s="56"/>
      <c r="I314" s="56"/>
      <c r="J314" s="56"/>
    </row>
    <row r="315">
      <c r="A315" s="55"/>
      <c r="B315" s="56"/>
      <c r="C315" s="56"/>
      <c r="D315" s="56"/>
      <c r="E315" s="56"/>
      <c r="F315" s="56"/>
      <c r="G315" s="56"/>
      <c r="H315" s="56"/>
      <c r="I315" s="56"/>
      <c r="J315" s="56"/>
    </row>
    <row r="316">
      <c r="A316" s="55"/>
      <c r="B316" s="56"/>
      <c r="C316" s="56"/>
      <c r="D316" s="56"/>
      <c r="E316" s="56"/>
      <c r="F316" s="56"/>
      <c r="G316" s="56"/>
      <c r="H316" s="56"/>
      <c r="I316" s="56"/>
      <c r="J316" s="56"/>
    </row>
    <row r="317">
      <c r="A317" s="55"/>
      <c r="B317" s="56"/>
      <c r="C317" s="56"/>
      <c r="D317" s="56"/>
      <c r="E317" s="56"/>
      <c r="F317" s="56"/>
      <c r="G317" s="56"/>
      <c r="H317" s="56"/>
      <c r="I317" s="56"/>
      <c r="J317" s="56"/>
    </row>
    <row r="318">
      <c r="A318" s="55"/>
      <c r="B318" s="56"/>
      <c r="C318" s="56"/>
      <c r="D318" s="56"/>
      <c r="E318" s="56"/>
      <c r="F318" s="56"/>
      <c r="G318" s="56"/>
      <c r="H318" s="56"/>
      <c r="I318" s="56"/>
      <c r="J318" s="56"/>
    </row>
    <row r="319">
      <c r="A319" s="55"/>
      <c r="B319" s="56"/>
      <c r="C319" s="56"/>
      <c r="D319" s="56"/>
      <c r="E319" s="56"/>
      <c r="F319" s="56"/>
      <c r="G319" s="56"/>
      <c r="H319" s="56"/>
      <c r="I319" s="56"/>
      <c r="J319" s="56"/>
    </row>
    <row r="320">
      <c r="A320" s="55"/>
      <c r="B320" s="56"/>
      <c r="C320" s="56"/>
      <c r="D320" s="56"/>
      <c r="E320" s="56"/>
      <c r="F320" s="56"/>
      <c r="G320" s="56"/>
      <c r="H320" s="56"/>
      <c r="I320" s="56"/>
      <c r="J320" s="56"/>
    </row>
    <row r="321">
      <c r="A321" s="55"/>
      <c r="B321" s="56"/>
      <c r="C321" s="56"/>
      <c r="D321" s="56"/>
      <c r="E321" s="56"/>
      <c r="F321" s="56"/>
      <c r="G321" s="56"/>
      <c r="H321" s="56"/>
      <c r="I321" s="56"/>
      <c r="J321" s="56"/>
    </row>
    <row r="322">
      <c r="A322" s="55"/>
      <c r="B322" s="56"/>
      <c r="C322" s="56"/>
      <c r="D322" s="56"/>
      <c r="E322" s="56"/>
      <c r="F322" s="56"/>
      <c r="G322" s="56"/>
      <c r="H322" s="56"/>
      <c r="I322" s="56"/>
      <c r="J322" s="56"/>
    </row>
    <row r="323">
      <c r="A323" s="55"/>
      <c r="B323" s="56"/>
      <c r="C323" s="56"/>
      <c r="D323" s="56"/>
      <c r="E323" s="56"/>
      <c r="F323" s="56"/>
      <c r="G323" s="56"/>
      <c r="H323" s="56"/>
      <c r="I323" s="56"/>
      <c r="J323" s="56"/>
    </row>
    <row r="324">
      <c r="A324" s="55"/>
      <c r="B324" s="56"/>
      <c r="C324" s="56"/>
      <c r="D324" s="56"/>
      <c r="E324" s="56"/>
      <c r="F324" s="56"/>
      <c r="G324" s="56"/>
      <c r="H324" s="56"/>
      <c r="I324" s="56"/>
      <c r="J324" s="56"/>
    </row>
    <row r="325">
      <c r="A325" s="55"/>
      <c r="B325" s="56"/>
      <c r="C325" s="56"/>
      <c r="D325" s="56"/>
      <c r="E325" s="56"/>
      <c r="F325" s="56"/>
      <c r="G325" s="56"/>
      <c r="H325" s="56"/>
      <c r="I325" s="56"/>
      <c r="J325" s="56"/>
    </row>
    <row r="326">
      <c r="A326" s="55"/>
      <c r="B326" s="56"/>
      <c r="C326" s="56"/>
      <c r="D326" s="56"/>
      <c r="E326" s="56"/>
      <c r="F326" s="56"/>
      <c r="G326" s="56"/>
      <c r="H326" s="56"/>
      <c r="I326" s="56"/>
      <c r="J326" s="56"/>
    </row>
    <row r="327">
      <c r="A327" s="55"/>
      <c r="B327" s="56"/>
      <c r="C327" s="56"/>
      <c r="D327" s="56"/>
      <c r="E327" s="56"/>
      <c r="F327" s="56"/>
      <c r="G327" s="56"/>
      <c r="H327" s="56"/>
      <c r="I327" s="56"/>
      <c r="J327" s="56"/>
    </row>
    <row r="328">
      <c r="A328" s="55"/>
      <c r="B328" s="56"/>
      <c r="C328" s="56"/>
      <c r="D328" s="56"/>
      <c r="E328" s="56"/>
      <c r="F328" s="56"/>
      <c r="G328" s="56"/>
      <c r="H328" s="56"/>
      <c r="I328" s="56"/>
      <c r="J328" s="56"/>
    </row>
    <row r="329">
      <c r="A329" s="55"/>
      <c r="B329" s="56"/>
      <c r="C329" s="56"/>
      <c r="D329" s="56"/>
      <c r="E329" s="56"/>
      <c r="F329" s="56"/>
      <c r="G329" s="56"/>
      <c r="H329" s="56"/>
      <c r="I329" s="56"/>
      <c r="J329" s="56"/>
    </row>
    <row r="330">
      <c r="A330" s="55"/>
      <c r="B330" s="56"/>
      <c r="C330" s="56"/>
      <c r="D330" s="56"/>
      <c r="E330" s="56"/>
      <c r="F330" s="56"/>
      <c r="G330" s="56"/>
      <c r="H330" s="56"/>
      <c r="I330" s="56"/>
      <c r="J330" s="56"/>
    </row>
    <row r="331">
      <c r="A331" s="55"/>
      <c r="B331" s="56"/>
      <c r="C331" s="56"/>
      <c r="D331" s="56"/>
      <c r="E331" s="56"/>
      <c r="F331" s="56"/>
      <c r="G331" s="56"/>
      <c r="H331" s="56"/>
      <c r="I331" s="56"/>
      <c r="J331" s="56"/>
    </row>
    <row r="332">
      <c r="A332" s="55"/>
      <c r="B332" s="56"/>
      <c r="C332" s="56"/>
      <c r="D332" s="56"/>
      <c r="E332" s="56"/>
      <c r="F332" s="56"/>
      <c r="G332" s="56"/>
      <c r="H332" s="56"/>
      <c r="I332" s="56"/>
      <c r="J332" s="56"/>
    </row>
    <row r="333">
      <c r="A333" s="55"/>
      <c r="B333" s="56"/>
      <c r="C333" s="56"/>
      <c r="D333" s="56"/>
      <c r="E333" s="56"/>
      <c r="F333" s="56"/>
      <c r="G333" s="56"/>
      <c r="H333" s="56"/>
      <c r="I333" s="56"/>
      <c r="J333" s="56"/>
    </row>
    <row r="334">
      <c r="A334" s="55"/>
      <c r="B334" s="56"/>
      <c r="C334" s="56"/>
      <c r="D334" s="56"/>
      <c r="E334" s="56"/>
      <c r="F334" s="56"/>
      <c r="G334" s="56"/>
      <c r="H334" s="56"/>
      <c r="I334" s="56"/>
      <c r="J334" s="56"/>
    </row>
    <row r="335">
      <c r="A335" s="55"/>
      <c r="B335" s="56"/>
      <c r="C335" s="56"/>
      <c r="D335" s="56"/>
      <c r="E335" s="56"/>
      <c r="F335" s="56"/>
      <c r="G335" s="56"/>
      <c r="H335" s="56"/>
      <c r="I335" s="56"/>
      <c r="J335" s="56"/>
    </row>
    <row r="336">
      <c r="A336" s="55"/>
      <c r="B336" s="56"/>
      <c r="C336" s="56"/>
      <c r="D336" s="56"/>
      <c r="E336" s="56"/>
      <c r="F336" s="56"/>
      <c r="G336" s="56"/>
      <c r="H336" s="56"/>
      <c r="I336" s="56"/>
      <c r="J336" s="56"/>
    </row>
    <row r="337">
      <c r="A337" s="55"/>
      <c r="B337" s="56"/>
      <c r="C337" s="56"/>
      <c r="D337" s="56"/>
      <c r="E337" s="56"/>
      <c r="F337" s="56"/>
      <c r="G337" s="56"/>
      <c r="H337" s="56"/>
      <c r="I337" s="56"/>
      <c r="J337" s="56"/>
    </row>
    <row r="338">
      <c r="A338" s="55"/>
      <c r="B338" s="56"/>
      <c r="C338" s="56"/>
      <c r="D338" s="56"/>
      <c r="E338" s="56"/>
      <c r="F338" s="56"/>
      <c r="G338" s="56"/>
      <c r="H338" s="56"/>
      <c r="I338" s="56"/>
      <c r="J338" s="56"/>
    </row>
    <row r="339">
      <c r="A339" s="55"/>
      <c r="B339" s="56"/>
      <c r="C339" s="56"/>
      <c r="D339" s="56"/>
      <c r="E339" s="56"/>
      <c r="F339" s="56"/>
      <c r="G339" s="56"/>
      <c r="H339" s="56"/>
      <c r="I339" s="56"/>
      <c r="J339" s="56"/>
    </row>
    <row r="340">
      <c r="A340" s="55"/>
      <c r="B340" s="56"/>
      <c r="C340" s="56"/>
      <c r="D340" s="56"/>
      <c r="E340" s="56"/>
      <c r="F340" s="56"/>
      <c r="G340" s="56"/>
      <c r="H340" s="56"/>
      <c r="I340" s="56"/>
      <c r="J340" s="56"/>
    </row>
    <row r="341">
      <c r="A341" s="55"/>
      <c r="B341" s="56"/>
      <c r="C341" s="56"/>
      <c r="D341" s="56"/>
      <c r="E341" s="56"/>
      <c r="F341" s="56"/>
      <c r="G341" s="56"/>
      <c r="H341" s="56"/>
      <c r="I341" s="56"/>
      <c r="J341" s="56"/>
    </row>
    <row r="342">
      <c r="A342" s="55"/>
      <c r="B342" s="56"/>
      <c r="C342" s="56"/>
      <c r="D342" s="56"/>
      <c r="E342" s="56"/>
      <c r="F342" s="56"/>
      <c r="G342" s="56"/>
      <c r="H342" s="56"/>
      <c r="I342" s="56"/>
      <c r="J342" s="56"/>
    </row>
    <row r="343">
      <c r="A343" s="55"/>
      <c r="B343" s="56"/>
      <c r="C343" s="56"/>
      <c r="D343" s="56"/>
      <c r="E343" s="56"/>
      <c r="F343" s="56"/>
      <c r="G343" s="56"/>
      <c r="H343" s="56"/>
      <c r="I343" s="56"/>
      <c r="J343" s="56"/>
    </row>
    <row r="344">
      <c r="A344" s="55"/>
      <c r="B344" s="56"/>
      <c r="C344" s="56"/>
      <c r="D344" s="56"/>
      <c r="E344" s="56"/>
      <c r="F344" s="56"/>
      <c r="G344" s="56"/>
      <c r="H344" s="56"/>
      <c r="I344" s="56"/>
      <c r="J344" s="56"/>
    </row>
    <row r="345">
      <c r="A345" s="55"/>
      <c r="B345" s="56"/>
      <c r="C345" s="56"/>
      <c r="D345" s="56"/>
      <c r="E345" s="56"/>
      <c r="F345" s="56"/>
      <c r="G345" s="56"/>
      <c r="H345" s="56"/>
      <c r="I345" s="56"/>
      <c r="J345" s="56"/>
    </row>
    <row r="346">
      <c r="A346" s="55"/>
      <c r="B346" s="56"/>
      <c r="C346" s="56"/>
      <c r="D346" s="56"/>
      <c r="E346" s="56"/>
      <c r="F346" s="56"/>
      <c r="G346" s="56"/>
      <c r="H346" s="56"/>
      <c r="I346" s="56"/>
      <c r="J346" s="56"/>
    </row>
    <row r="347">
      <c r="A347" s="55"/>
      <c r="B347" s="56"/>
      <c r="C347" s="56"/>
      <c r="D347" s="56"/>
      <c r="E347" s="56"/>
      <c r="F347" s="56"/>
      <c r="G347" s="56"/>
      <c r="H347" s="56"/>
      <c r="I347" s="56"/>
      <c r="J347" s="56"/>
    </row>
    <row r="348">
      <c r="A348" s="55"/>
      <c r="B348" s="56"/>
      <c r="C348" s="56"/>
      <c r="D348" s="56"/>
      <c r="E348" s="56"/>
      <c r="F348" s="56"/>
      <c r="G348" s="56"/>
      <c r="H348" s="56"/>
      <c r="I348" s="56"/>
      <c r="J348" s="56"/>
    </row>
    <row r="349">
      <c r="A349" s="55"/>
      <c r="B349" s="56"/>
      <c r="C349" s="56"/>
      <c r="D349" s="56"/>
      <c r="E349" s="56"/>
      <c r="F349" s="56"/>
      <c r="G349" s="56"/>
      <c r="H349" s="56"/>
      <c r="I349" s="56"/>
      <c r="J349" s="56"/>
    </row>
    <row r="350">
      <c r="A350" s="55"/>
      <c r="B350" s="56"/>
      <c r="C350" s="56"/>
      <c r="D350" s="56"/>
      <c r="E350" s="56"/>
      <c r="F350" s="56"/>
      <c r="G350" s="56"/>
      <c r="H350" s="56"/>
      <c r="I350" s="56"/>
      <c r="J350" s="56"/>
    </row>
    <row r="351">
      <c r="A351" s="55"/>
      <c r="B351" s="56"/>
      <c r="C351" s="56"/>
      <c r="D351" s="56"/>
      <c r="E351" s="56"/>
      <c r="F351" s="56"/>
      <c r="G351" s="56"/>
      <c r="H351" s="56"/>
      <c r="I351" s="56"/>
      <c r="J351" s="56"/>
    </row>
    <row r="352">
      <c r="A352" s="55"/>
      <c r="B352" s="56"/>
      <c r="C352" s="56"/>
      <c r="D352" s="56"/>
      <c r="E352" s="56"/>
      <c r="F352" s="56"/>
      <c r="G352" s="56"/>
      <c r="H352" s="56"/>
      <c r="I352" s="56"/>
      <c r="J352" s="56"/>
    </row>
    <row r="353">
      <c r="A353" s="55"/>
      <c r="B353" s="56"/>
      <c r="C353" s="56"/>
      <c r="D353" s="56"/>
      <c r="E353" s="56"/>
      <c r="F353" s="56"/>
      <c r="G353" s="56"/>
      <c r="H353" s="56"/>
      <c r="I353" s="56"/>
      <c r="J353" s="56"/>
    </row>
    <row r="354">
      <c r="A354" s="55"/>
      <c r="B354" s="56"/>
      <c r="C354" s="56"/>
      <c r="D354" s="56"/>
      <c r="E354" s="56"/>
      <c r="F354" s="56"/>
      <c r="G354" s="56"/>
      <c r="H354" s="56"/>
      <c r="I354" s="56"/>
      <c r="J354" s="56"/>
    </row>
    <row r="355">
      <c r="A355" s="55"/>
      <c r="B355" s="56"/>
      <c r="C355" s="56"/>
      <c r="D355" s="56"/>
      <c r="E355" s="56"/>
      <c r="F355" s="56"/>
      <c r="G355" s="56"/>
      <c r="H355" s="56"/>
      <c r="I355" s="56"/>
      <c r="J355" s="56"/>
    </row>
    <row r="356">
      <c r="A356" s="55"/>
      <c r="B356" s="56"/>
      <c r="C356" s="56"/>
      <c r="D356" s="56"/>
      <c r="E356" s="56"/>
      <c r="F356" s="56"/>
      <c r="G356" s="56"/>
      <c r="H356" s="56"/>
      <c r="I356" s="56"/>
      <c r="J356" s="56"/>
    </row>
    <row r="357">
      <c r="A357" s="55"/>
      <c r="B357" s="56"/>
      <c r="C357" s="56"/>
      <c r="D357" s="56"/>
      <c r="E357" s="56"/>
      <c r="F357" s="56"/>
      <c r="G357" s="56"/>
      <c r="H357" s="56"/>
      <c r="I357" s="56"/>
      <c r="J357" s="56"/>
    </row>
    <row r="358">
      <c r="A358" s="55"/>
      <c r="B358" s="56"/>
      <c r="C358" s="56"/>
      <c r="D358" s="56"/>
      <c r="E358" s="56"/>
      <c r="F358" s="56"/>
      <c r="G358" s="56"/>
      <c r="H358" s="56"/>
      <c r="I358" s="56"/>
      <c r="J358" s="56"/>
    </row>
    <row r="359">
      <c r="A359" s="55"/>
      <c r="B359" s="56"/>
      <c r="C359" s="56"/>
      <c r="D359" s="56"/>
      <c r="E359" s="56"/>
      <c r="F359" s="56"/>
      <c r="G359" s="56"/>
      <c r="H359" s="56"/>
      <c r="I359" s="56"/>
      <c r="J359" s="56"/>
    </row>
    <row r="360">
      <c r="A360" s="55"/>
      <c r="B360" s="56"/>
      <c r="C360" s="56"/>
      <c r="D360" s="56"/>
      <c r="E360" s="56"/>
      <c r="F360" s="56"/>
      <c r="G360" s="56"/>
      <c r="H360" s="56"/>
      <c r="I360" s="56"/>
      <c r="J360" s="56"/>
    </row>
    <row r="361">
      <c r="A361" s="55"/>
      <c r="B361" s="56"/>
      <c r="C361" s="56"/>
      <c r="D361" s="56"/>
      <c r="E361" s="56"/>
      <c r="F361" s="56"/>
      <c r="G361" s="56"/>
      <c r="H361" s="56"/>
      <c r="I361" s="56"/>
      <c r="J361" s="56"/>
    </row>
    <row r="362">
      <c r="A362" s="55"/>
      <c r="B362" s="56"/>
      <c r="C362" s="56"/>
      <c r="D362" s="56"/>
      <c r="E362" s="56"/>
      <c r="F362" s="56"/>
      <c r="G362" s="56"/>
      <c r="H362" s="56"/>
      <c r="I362" s="56"/>
      <c r="J362" s="56"/>
    </row>
    <row r="363">
      <c r="A363" s="55"/>
      <c r="B363" s="56"/>
      <c r="C363" s="56"/>
      <c r="D363" s="56"/>
      <c r="E363" s="56"/>
      <c r="F363" s="56"/>
      <c r="G363" s="56"/>
      <c r="H363" s="56"/>
      <c r="I363" s="56"/>
      <c r="J363" s="56"/>
    </row>
    <row r="364">
      <c r="A364" s="55"/>
      <c r="B364" s="56"/>
      <c r="C364" s="56"/>
      <c r="D364" s="56"/>
      <c r="E364" s="56"/>
      <c r="F364" s="56"/>
      <c r="G364" s="56"/>
      <c r="H364" s="56"/>
      <c r="I364" s="56"/>
      <c r="J364" s="56"/>
    </row>
    <row r="365">
      <c r="A365" s="55"/>
      <c r="B365" s="56"/>
      <c r="C365" s="56"/>
      <c r="D365" s="56"/>
      <c r="E365" s="56"/>
      <c r="F365" s="56"/>
      <c r="G365" s="56"/>
      <c r="H365" s="56"/>
      <c r="I365" s="56"/>
      <c r="J365" s="56"/>
    </row>
    <row r="366">
      <c r="A366" s="55"/>
      <c r="B366" s="56"/>
      <c r="C366" s="56"/>
      <c r="D366" s="56"/>
      <c r="E366" s="56"/>
      <c r="F366" s="56"/>
      <c r="G366" s="56"/>
      <c r="H366" s="56"/>
      <c r="I366" s="56"/>
      <c r="J366" s="56"/>
    </row>
    <row r="367">
      <c r="A367" s="55"/>
      <c r="B367" s="56"/>
      <c r="C367" s="56"/>
      <c r="D367" s="56"/>
      <c r="E367" s="56"/>
      <c r="F367" s="56"/>
      <c r="G367" s="56"/>
      <c r="H367" s="56"/>
      <c r="I367" s="56"/>
      <c r="J367" s="56"/>
    </row>
    <row r="368">
      <c r="A368" s="55"/>
      <c r="B368" s="56"/>
      <c r="C368" s="56"/>
      <c r="D368" s="56"/>
      <c r="E368" s="56"/>
      <c r="F368" s="56"/>
      <c r="G368" s="56"/>
      <c r="H368" s="56"/>
      <c r="I368" s="56"/>
      <c r="J368" s="56"/>
    </row>
    <row r="369">
      <c r="A369" s="55"/>
      <c r="B369" s="56"/>
      <c r="C369" s="56"/>
      <c r="D369" s="56"/>
      <c r="E369" s="56"/>
      <c r="F369" s="56"/>
      <c r="G369" s="56"/>
      <c r="H369" s="56"/>
      <c r="I369" s="56"/>
      <c r="J369" s="56"/>
    </row>
    <row r="370">
      <c r="A370" s="55"/>
      <c r="B370" s="56"/>
      <c r="C370" s="56"/>
      <c r="D370" s="56"/>
      <c r="E370" s="56"/>
      <c r="F370" s="56"/>
      <c r="G370" s="56"/>
      <c r="H370" s="56"/>
      <c r="I370" s="56"/>
      <c r="J370" s="56"/>
    </row>
    <row r="371">
      <c r="A371" s="55"/>
      <c r="B371" s="56"/>
      <c r="C371" s="56"/>
      <c r="D371" s="56"/>
      <c r="E371" s="56"/>
      <c r="F371" s="56"/>
      <c r="G371" s="56"/>
      <c r="H371" s="56"/>
      <c r="I371" s="56"/>
      <c r="J371" s="56"/>
    </row>
    <row r="372">
      <c r="A372" s="55"/>
      <c r="B372" s="56"/>
      <c r="C372" s="56"/>
      <c r="D372" s="56"/>
      <c r="E372" s="56"/>
      <c r="F372" s="56"/>
      <c r="G372" s="56"/>
      <c r="H372" s="56"/>
      <c r="I372" s="56"/>
      <c r="J372" s="56"/>
    </row>
    <row r="373">
      <c r="A373" s="55"/>
      <c r="B373" s="56"/>
      <c r="C373" s="56"/>
      <c r="D373" s="56"/>
      <c r="E373" s="56"/>
      <c r="F373" s="56"/>
      <c r="G373" s="56"/>
      <c r="H373" s="56"/>
      <c r="I373" s="56"/>
      <c r="J373" s="56"/>
    </row>
    <row r="374">
      <c r="A374" s="55"/>
      <c r="B374" s="56"/>
      <c r="C374" s="56"/>
      <c r="D374" s="56"/>
      <c r="E374" s="56"/>
      <c r="F374" s="56"/>
      <c r="G374" s="56"/>
      <c r="H374" s="56"/>
      <c r="I374" s="56"/>
      <c r="J374" s="56"/>
    </row>
    <row r="375">
      <c r="A375" s="55"/>
      <c r="B375" s="56"/>
      <c r="C375" s="56"/>
      <c r="D375" s="56"/>
      <c r="E375" s="56"/>
      <c r="F375" s="56"/>
      <c r="G375" s="56"/>
      <c r="H375" s="56"/>
      <c r="I375" s="56"/>
      <c r="J375" s="56"/>
    </row>
    <row r="376">
      <c r="A376" s="55"/>
      <c r="B376" s="56"/>
      <c r="C376" s="56"/>
      <c r="D376" s="56"/>
      <c r="E376" s="56"/>
      <c r="F376" s="56"/>
      <c r="G376" s="56"/>
      <c r="H376" s="56"/>
      <c r="I376" s="56"/>
      <c r="J376" s="56"/>
    </row>
    <row r="377">
      <c r="A377" s="55"/>
      <c r="B377" s="56"/>
      <c r="C377" s="56"/>
      <c r="D377" s="56"/>
      <c r="E377" s="56"/>
      <c r="F377" s="56"/>
      <c r="G377" s="56"/>
      <c r="H377" s="56"/>
      <c r="I377" s="56"/>
      <c r="J377" s="56"/>
    </row>
    <row r="378">
      <c r="A378" s="55"/>
      <c r="B378" s="56"/>
      <c r="C378" s="56"/>
      <c r="D378" s="56"/>
      <c r="E378" s="56"/>
      <c r="F378" s="56"/>
      <c r="G378" s="56"/>
      <c r="H378" s="56"/>
      <c r="I378" s="56"/>
      <c r="J378" s="56"/>
    </row>
    <row r="379">
      <c r="A379" s="55"/>
      <c r="B379" s="56"/>
      <c r="C379" s="56"/>
      <c r="D379" s="56"/>
      <c r="E379" s="56"/>
      <c r="F379" s="56"/>
      <c r="G379" s="56"/>
      <c r="H379" s="56"/>
      <c r="I379" s="56"/>
      <c r="J379" s="56"/>
    </row>
    <row r="380">
      <c r="A380" s="55"/>
      <c r="B380" s="56"/>
      <c r="C380" s="56"/>
      <c r="D380" s="56"/>
      <c r="E380" s="56"/>
      <c r="F380" s="56"/>
      <c r="G380" s="56"/>
      <c r="H380" s="56"/>
      <c r="I380" s="56"/>
      <c r="J380" s="56"/>
    </row>
    <row r="381">
      <c r="A381" s="55"/>
      <c r="B381" s="56"/>
      <c r="C381" s="56"/>
      <c r="D381" s="56"/>
      <c r="E381" s="56"/>
      <c r="F381" s="56"/>
      <c r="G381" s="56"/>
      <c r="H381" s="56"/>
      <c r="I381" s="56"/>
      <c r="J381" s="56"/>
    </row>
    <row r="382">
      <c r="A382" s="55"/>
      <c r="B382" s="56"/>
      <c r="C382" s="56"/>
      <c r="D382" s="56"/>
      <c r="E382" s="56"/>
      <c r="F382" s="56"/>
      <c r="G382" s="56"/>
      <c r="H382" s="56"/>
      <c r="I382" s="56"/>
      <c r="J382" s="56"/>
    </row>
    <row r="383">
      <c r="A383" s="55"/>
      <c r="B383" s="56"/>
      <c r="C383" s="56"/>
      <c r="D383" s="56"/>
      <c r="E383" s="56"/>
      <c r="F383" s="56"/>
      <c r="G383" s="56"/>
      <c r="H383" s="56"/>
      <c r="I383" s="56"/>
      <c r="J383" s="56"/>
    </row>
    <row r="384">
      <c r="A384" s="55"/>
      <c r="B384" s="56"/>
      <c r="C384" s="56"/>
      <c r="D384" s="56"/>
      <c r="E384" s="56"/>
      <c r="F384" s="56"/>
      <c r="G384" s="56"/>
      <c r="H384" s="56"/>
      <c r="I384" s="56"/>
      <c r="J384" s="56"/>
    </row>
    <row r="385">
      <c r="A385" s="55"/>
      <c r="B385" s="56"/>
      <c r="C385" s="56"/>
      <c r="D385" s="56"/>
      <c r="E385" s="56"/>
      <c r="F385" s="56"/>
      <c r="G385" s="56"/>
      <c r="H385" s="56"/>
      <c r="I385" s="56"/>
      <c r="J385" s="56"/>
    </row>
    <row r="386">
      <c r="A386" s="55"/>
      <c r="B386" s="56"/>
      <c r="C386" s="56"/>
      <c r="D386" s="56"/>
      <c r="E386" s="56"/>
      <c r="F386" s="56"/>
      <c r="G386" s="56"/>
      <c r="H386" s="56"/>
      <c r="I386" s="56"/>
      <c r="J386" s="56"/>
    </row>
    <row r="387">
      <c r="A387" s="55"/>
      <c r="B387" s="56"/>
      <c r="C387" s="56"/>
      <c r="D387" s="56"/>
      <c r="E387" s="56"/>
      <c r="F387" s="56"/>
      <c r="G387" s="56"/>
      <c r="H387" s="56"/>
      <c r="I387" s="56"/>
      <c r="J387" s="56"/>
    </row>
    <row r="388">
      <c r="A388" s="55"/>
      <c r="B388" s="56"/>
      <c r="C388" s="56"/>
      <c r="D388" s="56"/>
      <c r="E388" s="56"/>
      <c r="F388" s="56"/>
      <c r="G388" s="56"/>
      <c r="H388" s="56"/>
      <c r="I388" s="56"/>
      <c r="J388" s="56"/>
    </row>
    <row r="389">
      <c r="A389" s="55"/>
      <c r="B389" s="56"/>
      <c r="C389" s="56"/>
      <c r="D389" s="56"/>
      <c r="E389" s="56"/>
      <c r="F389" s="56"/>
      <c r="G389" s="56"/>
      <c r="H389" s="56"/>
      <c r="I389" s="56"/>
      <c r="J389" s="56"/>
    </row>
    <row r="390">
      <c r="A390" s="55"/>
      <c r="B390" s="56"/>
      <c r="C390" s="56"/>
      <c r="D390" s="56"/>
      <c r="E390" s="56"/>
      <c r="F390" s="56"/>
      <c r="G390" s="56"/>
      <c r="H390" s="56"/>
      <c r="I390" s="56"/>
      <c r="J390" s="56"/>
    </row>
    <row r="391">
      <c r="A391" s="55"/>
      <c r="B391" s="56"/>
      <c r="C391" s="56"/>
      <c r="D391" s="56"/>
      <c r="E391" s="56"/>
      <c r="F391" s="56"/>
      <c r="G391" s="56"/>
      <c r="H391" s="56"/>
      <c r="I391" s="56"/>
      <c r="J391" s="56"/>
    </row>
    <row r="392">
      <c r="A392" s="55"/>
      <c r="B392" s="56"/>
      <c r="C392" s="56"/>
      <c r="D392" s="56"/>
      <c r="E392" s="56"/>
      <c r="F392" s="56"/>
      <c r="G392" s="56"/>
      <c r="H392" s="56"/>
      <c r="I392" s="56"/>
      <c r="J392" s="56"/>
    </row>
    <row r="393">
      <c r="A393" s="55"/>
      <c r="B393" s="56"/>
      <c r="C393" s="56"/>
      <c r="D393" s="56"/>
      <c r="E393" s="56"/>
      <c r="F393" s="56"/>
      <c r="G393" s="56"/>
      <c r="H393" s="56"/>
      <c r="I393" s="56"/>
      <c r="J393" s="56"/>
    </row>
    <row r="394">
      <c r="A394" s="55"/>
      <c r="B394" s="56"/>
      <c r="C394" s="56"/>
      <c r="D394" s="56"/>
      <c r="E394" s="56"/>
      <c r="F394" s="56"/>
      <c r="G394" s="56"/>
      <c r="H394" s="56"/>
      <c r="I394" s="56"/>
      <c r="J394" s="56"/>
    </row>
    <row r="395">
      <c r="A395" s="55"/>
      <c r="B395" s="56"/>
      <c r="C395" s="56"/>
      <c r="D395" s="56"/>
      <c r="E395" s="56"/>
      <c r="F395" s="56"/>
      <c r="G395" s="56"/>
      <c r="H395" s="56"/>
      <c r="I395" s="56"/>
      <c r="J395" s="56"/>
    </row>
    <row r="396">
      <c r="A396" s="55"/>
      <c r="B396" s="56"/>
      <c r="C396" s="56"/>
      <c r="D396" s="56"/>
      <c r="E396" s="56"/>
      <c r="F396" s="56"/>
      <c r="G396" s="56"/>
      <c r="H396" s="56"/>
      <c r="I396" s="56"/>
      <c r="J396" s="56"/>
    </row>
    <row r="397">
      <c r="A397" s="55"/>
      <c r="B397" s="56"/>
      <c r="C397" s="56"/>
      <c r="D397" s="56"/>
      <c r="E397" s="56"/>
      <c r="F397" s="56"/>
      <c r="G397" s="56"/>
      <c r="H397" s="56"/>
      <c r="I397" s="56"/>
      <c r="J397" s="56"/>
    </row>
    <row r="398">
      <c r="A398" s="55"/>
      <c r="B398" s="56"/>
      <c r="C398" s="56"/>
      <c r="D398" s="56"/>
      <c r="E398" s="56"/>
      <c r="F398" s="56"/>
      <c r="G398" s="56"/>
      <c r="H398" s="56"/>
      <c r="I398" s="56"/>
      <c r="J398" s="56"/>
    </row>
    <row r="399">
      <c r="A399" s="55"/>
      <c r="B399" s="56"/>
      <c r="C399" s="56"/>
      <c r="D399" s="56"/>
      <c r="E399" s="56"/>
      <c r="F399" s="56"/>
      <c r="G399" s="56"/>
      <c r="H399" s="56"/>
      <c r="I399" s="56"/>
      <c r="J399" s="56"/>
    </row>
    <row r="400">
      <c r="A400" s="55"/>
      <c r="B400" s="56"/>
      <c r="C400" s="56"/>
      <c r="D400" s="56"/>
      <c r="E400" s="56"/>
      <c r="F400" s="56"/>
      <c r="G400" s="56"/>
      <c r="H400" s="56"/>
      <c r="I400" s="56"/>
      <c r="J400" s="56"/>
    </row>
    <row r="401">
      <c r="A401" s="55"/>
      <c r="B401" s="56"/>
      <c r="C401" s="56"/>
      <c r="D401" s="56"/>
      <c r="E401" s="56"/>
      <c r="F401" s="56"/>
      <c r="G401" s="56"/>
      <c r="H401" s="56"/>
      <c r="I401" s="56"/>
      <c r="J401" s="56"/>
    </row>
    <row r="402">
      <c r="A402" s="55"/>
      <c r="B402" s="56"/>
      <c r="C402" s="56"/>
      <c r="D402" s="56"/>
      <c r="E402" s="56"/>
      <c r="F402" s="56"/>
      <c r="G402" s="56"/>
      <c r="H402" s="56"/>
      <c r="I402" s="56"/>
      <c r="J402" s="56"/>
    </row>
    <row r="403">
      <c r="A403" s="55"/>
      <c r="B403" s="56"/>
      <c r="C403" s="56"/>
      <c r="D403" s="56"/>
      <c r="E403" s="56"/>
      <c r="F403" s="56"/>
      <c r="G403" s="56"/>
      <c r="H403" s="56"/>
      <c r="I403" s="56"/>
      <c r="J403" s="56"/>
    </row>
    <row r="404">
      <c r="A404" s="55"/>
      <c r="B404" s="56"/>
      <c r="C404" s="56"/>
      <c r="D404" s="56"/>
      <c r="E404" s="56"/>
      <c r="F404" s="56"/>
      <c r="G404" s="56"/>
      <c r="H404" s="56"/>
      <c r="I404" s="56"/>
      <c r="J404" s="56"/>
    </row>
    <row r="405">
      <c r="A405" s="55"/>
      <c r="B405" s="56"/>
      <c r="C405" s="56"/>
      <c r="D405" s="56"/>
      <c r="E405" s="56"/>
      <c r="F405" s="56"/>
      <c r="G405" s="56"/>
      <c r="H405" s="56"/>
      <c r="I405" s="56"/>
      <c r="J405" s="56"/>
    </row>
    <row r="406">
      <c r="A406" s="55"/>
      <c r="B406" s="56"/>
      <c r="C406" s="56"/>
      <c r="D406" s="56"/>
      <c r="E406" s="56"/>
      <c r="F406" s="56"/>
      <c r="G406" s="56"/>
      <c r="H406" s="56"/>
      <c r="I406" s="56"/>
      <c r="J406" s="56"/>
    </row>
    <row r="407">
      <c r="A407" s="55"/>
      <c r="B407" s="56"/>
      <c r="C407" s="56"/>
      <c r="D407" s="56"/>
      <c r="E407" s="56"/>
      <c r="F407" s="56"/>
      <c r="G407" s="56"/>
      <c r="H407" s="56"/>
      <c r="I407" s="56"/>
      <c r="J407" s="56"/>
    </row>
    <row r="408">
      <c r="A408" s="55"/>
      <c r="B408" s="56"/>
      <c r="C408" s="56"/>
      <c r="D408" s="56"/>
      <c r="E408" s="56"/>
      <c r="F408" s="56"/>
      <c r="G408" s="56"/>
      <c r="H408" s="56"/>
      <c r="I408" s="56"/>
      <c r="J408" s="56"/>
    </row>
    <row r="409">
      <c r="A409" s="55"/>
      <c r="B409" s="56"/>
      <c r="C409" s="56"/>
      <c r="D409" s="56"/>
      <c r="E409" s="56"/>
      <c r="F409" s="56"/>
      <c r="G409" s="56"/>
      <c r="H409" s="56"/>
      <c r="I409" s="56"/>
      <c r="J409" s="56"/>
    </row>
    <row r="410">
      <c r="A410" s="55"/>
      <c r="B410" s="56"/>
      <c r="C410" s="56"/>
      <c r="D410" s="56"/>
      <c r="E410" s="56"/>
      <c r="F410" s="56"/>
      <c r="G410" s="56"/>
      <c r="H410" s="56"/>
      <c r="I410" s="56"/>
      <c r="J410" s="56"/>
    </row>
    <row r="411">
      <c r="A411" s="55"/>
      <c r="B411" s="56"/>
      <c r="C411" s="56"/>
      <c r="D411" s="56"/>
      <c r="E411" s="56"/>
      <c r="F411" s="56"/>
      <c r="G411" s="56"/>
      <c r="H411" s="56"/>
      <c r="I411" s="56"/>
      <c r="J411" s="56"/>
    </row>
    <row r="412">
      <c r="A412" s="55"/>
      <c r="B412" s="56"/>
      <c r="C412" s="56"/>
      <c r="D412" s="56"/>
      <c r="E412" s="56"/>
      <c r="F412" s="56"/>
      <c r="G412" s="56"/>
      <c r="H412" s="56"/>
      <c r="I412" s="56"/>
      <c r="J412" s="56"/>
    </row>
    <row r="413">
      <c r="A413" s="55"/>
      <c r="B413" s="56"/>
      <c r="C413" s="56"/>
      <c r="D413" s="56"/>
      <c r="E413" s="56"/>
      <c r="F413" s="56"/>
      <c r="G413" s="56"/>
      <c r="H413" s="56"/>
      <c r="I413" s="56"/>
      <c r="J413" s="56"/>
    </row>
    <row r="414">
      <c r="A414" s="55"/>
      <c r="B414" s="56"/>
      <c r="C414" s="56"/>
      <c r="D414" s="56"/>
      <c r="E414" s="56"/>
      <c r="F414" s="56"/>
      <c r="G414" s="56"/>
      <c r="H414" s="56"/>
      <c r="I414" s="56"/>
      <c r="J414" s="56"/>
    </row>
    <row r="415">
      <c r="A415" s="55"/>
      <c r="B415" s="56"/>
      <c r="C415" s="56"/>
      <c r="D415" s="56"/>
      <c r="E415" s="56"/>
      <c r="F415" s="56"/>
      <c r="G415" s="56"/>
      <c r="H415" s="56"/>
      <c r="I415" s="56"/>
      <c r="J415" s="56"/>
    </row>
    <row r="416">
      <c r="A416" s="55"/>
      <c r="B416" s="56"/>
      <c r="C416" s="56"/>
      <c r="D416" s="56"/>
      <c r="E416" s="56"/>
      <c r="F416" s="56"/>
      <c r="G416" s="56"/>
      <c r="H416" s="56"/>
      <c r="I416" s="56"/>
      <c r="J416" s="56"/>
    </row>
    <row r="417">
      <c r="A417" s="55"/>
      <c r="B417" s="56"/>
      <c r="C417" s="56"/>
      <c r="D417" s="56"/>
      <c r="E417" s="56"/>
      <c r="F417" s="56"/>
      <c r="G417" s="56"/>
      <c r="H417" s="56"/>
      <c r="I417" s="56"/>
      <c r="J417" s="56"/>
    </row>
    <row r="418">
      <c r="A418" s="55"/>
      <c r="B418" s="56"/>
      <c r="C418" s="56"/>
      <c r="D418" s="56"/>
      <c r="E418" s="56"/>
      <c r="F418" s="56"/>
      <c r="G418" s="56"/>
      <c r="H418" s="56"/>
      <c r="I418" s="56"/>
      <c r="J418" s="56"/>
    </row>
    <row r="419">
      <c r="A419" s="55"/>
      <c r="B419" s="56"/>
      <c r="C419" s="56"/>
      <c r="D419" s="56"/>
      <c r="E419" s="56"/>
      <c r="F419" s="56"/>
      <c r="G419" s="56"/>
      <c r="H419" s="56"/>
      <c r="I419" s="56"/>
      <c r="J419" s="56"/>
    </row>
    <row r="420">
      <c r="A420" s="55"/>
      <c r="B420" s="56"/>
      <c r="C420" s="56"/>
      <c r="D420" s="56"/>
      <c r="E420" s="56"/>
      <c r="F420" s="56"/>
      <c r="G420" s="56"/>
      <c r="H420" s="56"/>
      <c r="I420" s="56"/>
      <c r="J420" s="56"/>
    </row>
    <row r="421">
      <c r="A421" s="55"/>
      <c r="B421" s="56"/>
      <c r="C421" s="56"/>
      <c r="D421" s="56"/>
      <c r="E421" s="56"/>
      <c r="F421" s="56"/>
      <c r="G421" s="56"/>
      <c r="H421" s="56"/>
      <c r="I421" s="56"/>
      <c r="J421" s="56"/>
    </row>
    <row r="422">
      <c r="A422" s="55"/>
      <c r="B422" s="56"/>
      <c r="C422" s="56"/>
      <c r="D422" s="56"/>
      <c r="E422" s="56"/>
      <c r="F422" s="56"/>
      <c r="G422" s="56"/>
      <c r="H422" s="56"/>
      <c r="I422" s="56"/>
      <c r="J422" s="56"/>
    </row>
    <row r="423">
      <c r="A423" s="55"/>
      <c r="B423" s="56"/>
      <c r="C423" s="56"/>
      <c r="D423" s="56"/>
      <c r="E423" s="56"/>
      <c r="F423" s="56"/>
      <c r="G423" s="56"/>
      <c r="H423" s="56"/>
      <c r="I423" s="56"/>
      <c r="J423" s="56"/>
    </row>
    <row r="424">
      <c r="A424" s="55"/>
      <c r="B424" s="56"/>
      <c r="C424" s="56"/>
      <c r="D424" s="56"/>
      <c r="E424" s="56"/>
      <c r="F424" s="56"/>
      <c r="G424" s="56"/>
      <c r="H424" s="56"/>
      <c r="I424" s="56"/>
      <c r="J424" s="56"/>
    </row>
    <row r="425">
      <c r="A425" s="55"/>
      <c r="B425" s="56"/>
      <c r="C425" s="56"/>
      <c r="D425" s="56"/>
      <c r="E425" s="56"/>
      <c r="F425" s="56"/>
      <c r="G425" s="56"/>
      <c r="H425" s="56"/>
      <c r="I425" s="56"/>
      <c r="J425" s="56"/>
    </row>
    <row r="426">
      <c r="A426" s="55"/>
      <c r="B426" s="56"/>
      <c r="C426" s="56"/>
      <c r="D426" s="56"/>
      <c r="E426" s="56"/>
      <c r="F426" s="56"/>
      <c r="G426" s="56"/>
      <c r="H426" s="56"/>
      <c r="I426" s="56"/>
      <c r="J426" s="56"/>
    </row>
    <row r="427">
      <c r="A427" s="55"/>
      <c r="B427" s="56"/>
      <c r="C427" s="56"/>
      <c r="D427" s="56"/>
      <c r="E427" s="56"/>
      <c r="F427" s="56"/>
      <c r="G427" s="56"/>
      <c r="H427" s="56"/>
      <c r="I427" s="56"/>
      <c r="J427" s="56"/>
    </row>
    <row r="428">
      <c r="A428" s="55"/>
      <c r="B428" s="56"/>
      <c r="C428" s="56"/>
      <c r="D428" s="56"/>
      <c r="E428" s="56"/>
      <c r="F428" s="56"/>
      <c r="G428" s="56"/>
      <c r="H428" s="56"/>
      <c r="I428" s="56"/>
      <c r="J428" s="56"/>
    </row>
    <row r="429">
      <c r="A429" s="55"/>
      <c r="B429" s="56"/>
      <c r="C429" s="56"/>
      <c r="D429" s="56"/>
      <c r="E429" s="56"/>
      <c r="F429" s="56"/>
      <c r="G429" s="56"/>
      <c r="H429" s="56"/>
      <c r="I429" s="56"/>
      <c r="J429" s="56"/>
    </row>
    <row r="430">
      <c r="A430" s="55"/>
      <c r="B430" s="56"/>
      <c r="C430" s="56"/>
      <c r="D430" s="56"/>
      <c r="E430" s="56"/>
      <c r="F430" s="56"/>
      <c r="G430" s="56"/>
      <c r="H430" s="56"/>
      <c r="I430" s="56"/>
      <c r="J430" s="56"/>
    </row>
    <row r="431">
      <c r="A431" s="55"/>
      <c r="B431" s="56"/>
      <c r="C431" s="56"/>
      <c r="D431" s="56"/>
      <c r="E431" s="56"/>
      <c r="F431" s="56"/>
      <c r="G431" s="56"/>
      <c r="H431" s="56"/>
      <c r="I431" s="56"/>
      <c r="J431" s="56"/>
    </row>
    <row r="432">
      <c r="A432" s="55"/>
      <c r="B432" s="56"/>
      <c r="C432" s="56"/>
      <c r="D432" s="56"/>
      <c r="E432" s="56"/>
      <c r="F432" s="56"/>
      <c r="G432" s="56"/>
      <c r="H432" s="56"/>
      <c r="I432" s="56"/>
      <c r="J432" s="56"/>
    </row>
    <row r="433">
      <c r="A433" s="55"/>
      <c r="B433" s="56"/>
      <c r="C433" s="56"/>
      <c r="D433" s="56"/>
      <c r="E433" s="56"/>
      <c r="F433" s="56"/>
      <c r="G433" s="56"/>
      <c r="H433" s="56"/>
      <c r="I433" s="56"/>
      <c r="J433" s="56"/>
    </row>
    <row r="434">
      <c r="A434" s="55"/>
      <c r="B434" s="56"/>
      <c r="C434" s="56"/>
      <c r="D434" s="56"/>
      <c r="E434" s="56"/>
      <c r="F434" s="56"/>
      <c r="G434" s="56"/>
      <c r="H434" s="56"/>
      <c r="I434" s="56"/>
      <c r="J434" s="56"/>
    </row>
    <row r="435">
      <c r="A435" s="55"/>
      <c r="B435" s="56"/>
      <c r="C435" s="56"/>
      <c r="D435" s="56"/>
      <c r="E435" s="56"/>
      <c r="F435" s="56"/>
      <c r="G435" s="56"/>
      <c r="H435" s="56"/>
      <c r="I435" s="56"/>
      <c r="J435" s="56"/>
    </row>
    <row r="436">
      <c r="A436" s="55"/>
      <c r="B436" s="56"/>
      <c r="C436" s="56"/>
      <c r="D436" s="56"/>
      <c r="E436" s="56"/>
      <c r="F436" s="56"/>
      <c r="G436" s="56"/>
      <c r="H436" s="56"/>
      <c r="I436" s="56"/>
      <c r="J436" s="56"/>
    </row>
    <row r="437">
      <c r="A437" s="55"/>
      <c r="B437" s="56"/>
      <c r="C437" s="56"/>
      <c r="D437" s="56"/>
      <c r="E437" s="56"/>
      <c r="F437" s="56"/>
      <c r="G437" s="56"/>
      <c r="H437" s="56"/>
      <c r="I437" s="56"/>
      <c r="J437" s="56"/>
    </row>
    <row r="438">
      <c r="A438" s="55"/>
      <c r="B438" s="56"/>
      <c r="C438" s="56"/>
      <c r="D438" s="56"/>
      <c r="E438" s="56"/>
      <c r="F438" s="56"/>
      <c r="G438" s="56"/>
      <c r="H438" s="56"/>
      <c r="I438" s="56"/>
      <c r="J438" s="56"/>
    </row>
    <row r="439">
      <c r="A439" s="55"/>
      <c r="B439" s="56"/>
      <c r="C439" s="56"/>
      <c r="D439" s="56"/>
      <c r="E439" s="56"/>
      <c r="F439" s="56"/>
      <c r="G439" s="56"/>
      <c r="H439" s="56"/>
      <c r="I439" s="56"/>
      <c r="J439" s="56"/>
    </row>
    <row r="440">
      <c r="A440" s="55"/>
      <c r="B440" s="56"/>
      <c r="C440" s="56"/>
      <c r="D440" s="56"/>
      <c r="E440" s="56"/>
      <c r="F440" s="56"/>
      <c r="G440" s="56"/>
      <c r="H440" s="56"/>
      <c r="I440" s="56"/>
      <c r="J440" s="56"/>
    </row>
    <row r="441">
      <c r="A441" s="55"/>
      <c r="B441" s="56"/>
      <c r="C441" s="56"/>
      <c r="D441" s="56"/>
      <c r="E441" s="56"/>
      <c r="F441" s="56"/>
      <c r="G441" s="56"/>
      <c r="H441" s="56"/>
      <c r="I441" s="56"/>
      <c r="J441" s="56"/>
    </row>
    <row r="442">
      <c r="A442" s="55"/>
      <c r="B442" s="56"/>
      <c r="C442" s="56"/>
      <c r="D442" s="56"/>
      <c r="E442" s="56"/>
      <c r="F442" s="56"/>
      <c r="G442" s="56"/>
      <c r="H442" s="56"/>
      <c r="I442" s="56"/>
      <c r="J442" s="56"/>
    </row>
    <row r="443">
      <c r="A443" s="55"/>
      <c r="B443" s="56"/>
      <c r="C443" s="56"/>
      <c r="D443" s="56"/>
      <c r="E443" s="56"/>
      <c r="F443" s="56"/>
      <c r="G443" s="56"/>
      <c r="H443" s="56"/>
      <c r="I443" s="56"/>
      <c r="J443" s="56"/>
    </row>
    <row r="444">
      <c r="A444" s="55"/>
      <c r="B444" s="56"/>
      <c r="C444" s="56"/>
      <c r="D444" s="56"/>
      <c r="E444" s="56"/>
      <c r="F444" s="56"/>
      <c r="G444" s="56"/>
      <c r="H444" s="56"/>
      <c r="I444" s="56"/>
      <c r="J444" s="56"/>
    </row>
    <row r="445">
      <c r="A445" s="55"/>
      <c r="B445" s="56"/>
      <c r="C445" s="56"/>
      <c r="D445" s="56"/>
      <c r="E445" s="56"/>
      <c r="F445" s="56"/>
      <c r="G445" s="56"/>
      <c r="H445" s="56"/>
      <c r="I445" s="56"/>
      <c r="J445" s="56"/>
    </row>
    <row r="446">
      <c r="A446" s="55"/>
      <c r="B446" s="56"/>
      <c r="C446" s="56"/>
      <c r="D446" s="56"/>
      <c r="E446" s="56"/>
      <c r="F446" s="56"/>
      <c r="G446" s="56"/>
      <c r="H446" s="56"/>
      <c r="I446" s="56"/>
      <c r="J446" s="56"/>
    </row>
    <row r="447">
      <c r="A447" s="55"/>
      <c r="B447" s="56"/>
      <c r="C447" s="56"/>
      <c r="D447" s="56"/>
      <c r="E447" s="56"/>
      <c r="F447" s="56"/>
      <c r="G447" s="56"/>
      <c r="H447" s="56"/>
      <c r="I447" s="56"/>
      <c r="J447" s="56"/>
    </row>
    <row r="448">
      <c r="A448" s="55"/>
      <c r="B448" s="56"/>
      <c r="C448" s="56"/>
      <c r="D448" s="56"/>
      <c r="E448" s="56"/>
      <c r="F448" s="56"/>
      <c r="G448" s="56"/>
      <c r="H448" s="56"/>
      <c r="I448" s="56"/>
      <c r="J448" s="56"/>
    </row>
    <row r="449">
      <c r="A449" s="55"/>
      <c r="B449" s="56"/>
      <c r="C449" s="56"/>
      <c r="D449" s="56"/>
      <c r="E449" s="56"/>
      <c r="F449" s="56"/>
      <c r="G449" s="56"/>
      <c r="H449" s="56"/>
      <c r="I449" s="56"/>
      <c r="J449" s="56"/>
    </row>
    <row r="450">
      <c r="A450" s="55"/>
      <c r="B450" s="56"/>
      <c r="C450" s="56"/>
      <c r="D450" s="56"/>
      <c r="E450" s="56"/>
      <c r="F450" s="56"/>
      <c r="G450" s="56"/>
      <c r="H450" s="56"/>
      <c r="I450" s="56"/>
      <c r="J450" s="56"/>
    </row>
    <row r="451">
      <c r="A451" s="55"/>
      <c r="B451" s="56"/>
      <c r="C451" s="56"/>
      <c r="D451" s="56"/>
      <c r="E451" s="56"/>
      <c r="F451" s="56"/>
      <c r="G451" s="56"/>
      <c r="H451" s="56"/>
      <c r="I451" s="56"/>
      <c r="J451" s="56"/>
    </row>
    <row r="452">
      <c r="A452" s="55"/>
      <c r="B452" s="56"/>
      <c r="C452" s="56"/>
      <c r="D452" s="56"/>
      <c r="E452" s="56"/>
      <c r="F452" s="56"/>
      <c r="G452" s="56"/>
      <c r="H452" s="56"/>
      <c r="I452" s="56"/>
      <c r="J452" s="56"/>
    </row>
    <row r="453">
      <c r="A453" s="55"/>
      <c r="B453" s="56"/>
      <c r="C453" s="56"/>
      <c r="D453" s="56"/>
      <c r="E453" s="56"/>
      <c r="F453" s="56"/>
      <c r="G453" s="56"/>
      <c r="H453" s="56"/>
      <c r="I453" s="56"/>
      <c r="J453" s="56"/>
    </row>
    <row r="454">
      <c r="A454" s="55"/>
      <c r="B454" s="56"/>
      <c r="C454" s="56"/>
      <c r="D454" s="56"/>
      <c r="E454" s="56"/>
      <c r="F454" s="56"/>
      <c r="G454" s="56"/>
      <c r="H454" s="56"/>
      <c r="I454" s="56"/>
      <c r="J454" s="56"/>
    </row>
    <row r="455">
      <c r="A455" s="55"/>
      <c r="B455" s="56"/>
      <c r="C455" s="56"/>
      <c r="D455" s="56"/>
      <c r="E455" s="56"/>
      <c r="F455" s="56"/>
      <c r="G455" s="56"/>
      <c r="H455" s="56"/>
      <c r="I455" s="56"/>
      <c r="J455" s="56"/>
    </row>
    <row r="456">
      <c r="A456" s="55"/>
      <c r="B456" s="56"/>
      <c r="C456" s="56"/>
      <c r="D456" s="56"/>
      <c r="E456" s="56"/>
      <c r="F456" s="56"/>
      <c r="G456" s="56"/>
      <c r="H456" s="56"/>
      <c r="I456" s="56"/>
      <c r="J456" s="56"/>
    </row>
    <row r="457">
      <c r="A457" s="55"/>
      <c r="B457" s="56"/>
      <c r="C457" s="56"/>
      <c r="D457" s="56"/>
      <c r="E457" s="56"/>
      <c r="F457" s="56"/>
      <c r="G457" s="56"/>
      <c r="H457" s="56"/>
      <c r="I457" s="56"/>
      <c r="J457" s="56"/>
    </row>
    <row r="458">
      <c r="A458" s="55"/>
      <c r="B458" s="56"/>
      <c r="C458" s="56"/>
      <c r="D458" s="56"/>
      <c r="E458" s="56"/>
      <c r="F458" s="56"/>
      <c r="G458" s="56"/>
      <c r="H458" s="56"/>
      <c r="I458" s="56"/>
      <c r="J458" s="56"/>
    </row>
    <row r="459">
      <c r="A459" s="55"/>
      <c r="B459" s="56"/>
      <c r="C459" s="56"/>
      <c r="D459" s="56"/>
      <c r="E459" s="56"/>
      <c r="F459" s="56"/>
      <c r="G459" s="56"/>
      <c r="H459" s="56"/>
      <c r="I459" s="56"/>
      <c r="J459" s="56"/>
    </row>
    <row r="460">
      <c r="A460" s="55"/>
      <c r="B460" s="56"/>
      <c r="C460" s="56"/>
      <c r="D460" s="56"/>
      <c r="E460" s="56"/>
      <c r="F460" s="56"/>
      <c r="G460" s="56"/>
      <c r="H460" s="56"/>
      <c r="I460" s="56"/>
      <c r="J460" s="56"/>
    </row>
    <row r="461">
      <c r="A461" s="55"/>
      <c r="B461" s="56"/>
      <c r="C461" s="56"/>
      <c r="D461" s="56"/>
      <c r="E461" s="56"/>
      <c r="F461" s="56"/>
      <c r="G461" s="56"/>
      <c r="H461" s="56"/>
      <c r="I461" s="56"/>
      <c r="J461" s="56"/>
    </row>
    <row r="462">
      <c r="A462" s="55"/>
      <c r="B462" s="56"/>
      <c r="C462" s="56"/>
      <c r="D462" s="56"/>
      <c r="E462" s="56"/>
      <c r="F462" s="56"/>
      <c r="G462" s="56"/>
      <c r="H462" s="56"/>
      <c r="I462" s="56"/>
      <c r="J462" s="56"/>
    </row>
    <row r="463">
      <c r="A463" s="55"/>
      <c r="B463" s="56"/>
      <c r="C463" s="56"/>
      <c r="D463" s="56"/>
      <c r="E463" s="56"/>
      <c r="F463" s="56"/>
      <c r="G463" s="56"/>
      <c r="H463" s="56"/>
      <c r="I463" s="56"/>
      <c r="J463" s="56"/>
    </row>
    <row r="464">
      <c r="A464" s="55"/>
      <c r="B464" s="56"/>
      <c r="C464" s="56"/>
      <c r="D464" s="56"/>
      <c r="E464" s="56"/>
      <c r="F464" s="56"/>
      <c r="G464" s="56"/>
      <c r="H464" s="56"/>
      <c r="I464" s="56"/>
      <c r="J464" s="56"/>
    </row>
    <row r="465">
      <c r="A465" s="55"/>
      <c r="B465" s="56"/>
      <c r="C465" s="56"/>
      <c r="D465" s="56"/>
      <c r="E465" s="56"/>
      <c r="F465" s="56"/>
      <c r="G465" s="56"/>
      <c r="H465" s="56"/>
      <c r="I465" s="56"/>
      <c r="J465" s="56"/>
    </row>
    <row r="466">
      <c r="A466" s="55"/>
      <c r="B466" s="56"/>
      <c r="C466" s="56"/>
      <c r="D466" s="56"/>
      <c r="E466" s="56"/>
      <c r="F466" s="56"/>
      <c r="G466" s="56"/>
      <c r="H466" s="56"/>
      <c r="I466" s="56"/>
      <c r="J466" s="56"/>
    </row>
    <row r="467">
      <c r="A467" s="55"/>
      <c r="B467" s="56"/>
      <c r="C467" s="56"/>
      <c r="D467" s="56"/>
      <c r="E467" s="56"/>
      <c r="F467" s="56"/>
      <c r="G467" s="56"/>
      <c r="H467" s="56"/>
      <c r="I467" s="56"/>
      <c r="J467" s="56"/>
    </row>
    <row r="468">
      <c r="A468" s="55"/>
      <c r="B468" s="56"/>
      <c r="C468" s="56"/>
      <c r="D468" s="56"/>
      <c r="E468" s="56"/>
      <c r="F468" s="56"/>
      <c r="G468" s="56"/>
      <c r="H468" s="56"/>
      <c r="I468" s="56"/>
      <c r="J468" s="56"/>
    </row>
    <row r="469">
      <c r="A469" s="55"/>
      <c r="B469" s="56"/>
      <c r="C469" s="56"/>
      <c r="D469" s="56"/>
      <c r="E469" s="56"/>
      <c r="F469" s="56"/>
      <c r="G469" s="56"/>
      <c r="H469" s="56"/>
      <c r="I469" s="56"/>
      <c r="J469" s="56"/>
    </row>
    <row r="470">
      <c r="A470" s="55"/>
      <c r="B470" s="56"/>
      <c r="C470" s="56"/>
      <c r="D470" s="56"/>
      <c r="E470" s="56"/>
      <c r="F470" s="56"/>
      <c r="G470" s="56"/>
      <c r="H470" s="56"/>
      <c r="I470" s="56"/>
      <c r="J470" s="56"/>
    </row>
    <row r="471">
      <c r="A471" s="55"/>
      <c r="B471" s="56"/>
      <c r="C471" s="56"/>
      <c r="D471" s="56"/>
      <c r="E471" s="56"/>
      <c r="F471" s="56"/>
      <c r="G471" s="56"/>
      <c r="H471" s="56"/>
      <c r="I471" s="56"/>
      <c r="J471" s="56"/>
    </row>
    <row r="472">
      <c r="A472" s="55"/>
      <c r="B472" s="56"/>
      <c r="C472" s="56"/>
      <c r="D472" s="56"/>
      <c r="E472" s="56"/>
      <c r="F472" s="56"/>
      <c r="G472" s="56"/>
      <c r="H472" s="56"/>
      <c r="I472" s="56"/>
      <c r="J472" s="56"/>
    </row>
    <row r="473">
      <c r="A473" s="55"/>
      <c r="B473" s="56"/>
      <c r="C473" s="56"/>
      <c r="D473" s="56"/>
      <c r="E473" s="56"/>
      <c r="F473" s="56"/>
      <c r="G473" s="56"/>
      <c r="H473" s="56"/>
      <c r="I473" s="56"/>
      <c r="J473" s="56"/>
    </row>
    <row r="474">
      <c r="A474" s="55"/>
      <c r="B474" s="56"/>
      <c r="C474" s="56"/>
      <c r="D474" s="56"/>
      <c r="E474" s="56"/>
      <c r="F474" s="56"/>
      <c r="G474" s="56"/>
      <c r="H474" s="56"/>
      <c r="I474" s="56"/>
      <c r="J474" s="56"/>
    </row>
    <row r="475">
      <c r="A475" s="55"/>
      <c r="B475" s="56"/>
      <c r="C475" s="56"/>
      <c r="D475" s="56"/>
      <c r="E475" s="56"/>
      <c r="F475" s="56"/>
      <c r="G475" s="56"/>
      <c r="H475" s="56"/>
      <c r="I475" s="56"/>
      <c r="J475" s="56"/>
    </row>
    <row r="476">
      <c r="A476" s="55"/>
      <c r="B476" s="56"/>
      <c r="C476" s="56"/>
      <c r="D476" s="56"/>
      <c r="E476" s="56"/>
      <c r="F476" s="56"/>
      <c r="G476" s="56"/>
      <c r="H476" s="56"/>
      <c r="I476" s="56"/>
      <c r="J476" s="56"/>
    </row>
    <row r="477">
      <c r="A477" s="55"/>
      <c r="B477" s="56"/>
      <c r="C477" s="56"/>
      <c r="D477" s="56"/>
      <c r="E477" s="56"/>
      <c r="F477" s="56"/>
      <c r="G477" s="56"/>
      <c r="H477" s="56"/>
      <c r="I477" s="56"/>
      <c r="J477" s="56"/>
    </row>
    <row r="478">
      <c r="A478" s="55"/>
      <c r="B478" s="56"/>
      <c r="C478" s="56"/>
      <c r="D478" s="56"/>
      <c r="E478" s="56"/>
      <c r="F478" s="56"/>
      <c r="G478" s="56"/>
      <c r="H478" s="56"/>
      <c r="I478" s="56"/>
      <c r="J478" s="56"/>
    </row>
    <row r="479">
      <c r="A479" s="55"/>
      <c r="B479" s="56"/>
      <c r="C479" s="56"/>
      <c r="D479" s="56"/>
      <c r="E479" s="56"/>
      <c r="F479" s="56"/>
      <c r="G479" s="56"/>
      <c r="H479" s="56"/>
      <c r="I479" s="56"/>
      <c r="J479" s="56"/>
    </row>
    <row r="480">
      <c r="A480" s="55"/>
      <c r="B480" s="56"/>
      <c r="C480" s="56"/>
      <c r="D480" s="56"/>
      <c r="E480" s="56"/>
      <c r="F480" s="56"/>
      <c r="G480" s="56"/>
      <c r="H480" s="56"/>
      <c r="I480" s="56"/>
      <c r="J480" s="56"/>
    </row>
    <row r="481">
      <c r="A481" s="55"/>
      <c r="B481" s="56"/>
      <c r="C481" s="56"/>
      <c r="D481" s="56"/>
      <c r="E481" s="56"/>
      <c r="F481" s="56"/>
      <c r="G481" s="56"/>
      <c r="H481" s="56"/>
      <c r="I481" s="56"/>
      <c r="J481" s="56"/>
    </row>
    <row r="482">
      <c r="A482" s="55"/>
      <c r="B482" s="56"/>
      <c r="C482" s="56"/>
      <c r="D482" s="56"/>
      <c r="E482" s="56"/>
      <c r="F482" s="56"/>
      <c r="G482" s="56"/>
      <c r="H482" s="56"/>
      <c r="I482" s="56"/>
      <c r="J482" s="56"/>
    </row>
    <row r="483">
      <c r="A483" s="55"/>
      <c r="B483" s="56"/>
      <c r="C483" s="56"/>
      <c r="D483" s="56"/>
      <c r="E483" s="56"/>
      <c r="F483" s="56"/>
      <c r="G483" s="56"/>
      <c r="H483" s="56"/>
      <c r="I483" s="56"/>
      <c r="J483" s="56"/>
    </row>
    <row r="484">
      <c r="A484" s="55"/>
      <c r="B484" s="56"/>
      <c r="C484" s="56"/>
      <c r="D484" s="56"/>
      <c r="E484" s="56"/>
      <c r="F484" s="56"/>
      <c r="G484" s="56"/>
      <c r="H484" s="56"/>
      <c r="I484" s="56"/>
      <c r="J484" s="56"/>
    </row>
    <row r="485">
      <c r="A485" s="55"/>
      <c r="B485" s="56"/>
      <c r="C485" s="56"/>
      <c r="D485" s="56"/>
      <c r="E485" s="56"/>
      <c r="F485" s="56"/>
      <c r="G485" s="56"/>
      <c r="H485" s="56"/>
      <c r="I485" s="56"/>
      <c r="J485" s="56"/>
    </row>
    <row r="486">
      <c r="A486" s="55"/>
      <c r="B486" s="56"/>
      <c r="C486" s="56"/>
      <c r="D486" s="56"/>
      <c r="E486" s="56"/>
      <c r="F486" s="56"/>
      <c r="G486" s="56"/>
      <c r="H486" s="56"/>
      <c r="I486" s="56"/>
      <c r="J486" s="56"/>
    </row>
    <row r="487">
      <c r="A487" s="55"/>
      <c r="B487" s="56"/>
      <c r="C487" s="56"/>
      <c r="D487" s="56"/>
      <c r="E487" s="56"/>
      <c r="F487" s="56"/>
      <c r="G487" s="56"/>
      <c r="H487" s="56"/>
      <c r="I487" s="56"/>
      <c r="J487" s="56"/>
    </row>
    <row r="488">
      <c r="A488" s="55"/>
      <c r="B488" s="56"/>
      <c r="C488" s="56"/>
      <c r="D488" s="56"/>
      <c r="E488" s="56"/>
      <c r="F488" s="56"/>
      <c r="G488" s="56"/>
      <c r="H488" s="56"/>
      <c r="I488" s="56"/>
      <c r="J488" s="56"/>
    </row>
    <row r="489">
      <c r="A489" s="55"/>
      <c r="B489" s="56"/>
      <c r="C489" s="56"/>
      <c r="D489" s="56"/>
      <c r="E489" s="56"/>
      <c r="F489" s="56"/>
      <c r="G489" s="56"/>
      <c r="H489" s="56"/>
      <c r="I489" s="56"/>
      <c r="J489" s="56"/>
    </row>
    <row r="490">
      <c r="A490" s="55"/>
      <c r="B490" s="56"/>
      <c r="C490" s="56"/>
      <c r="D490" s="56"/>
      <c r="E490" s="56"/>
      <c r="F490" s="56"/>
      <c r="G490" s="56"/>
      <c r="H490" s="56"/>
      <c r="I490" s="56"/>
      <c r="J490" s="56"/>
    </row>
    <row r="491">
      <c r="A491" s="55"/>
      <c r="B491" s="56"/>
      <c r="C491" s="56"/>
      <c r="D491" s="56"/>
      <c r="E491" s="56"/>
      <c r="F491" s="56"/>
      <c r="G491" s="56"/>
      <c r="H491" s="56"/>
      <c r="I491" s="56"/>
      <c r="J491" s="56"/>
    </row>
    <row r="492">
      <c r="A492" s="55"/>
      <c r="B492" s="56"/>
      <c r="C492" s="56"/>
      <c r="D492" s="56"/>
      <c r="E492" s="56"/>
      <c r="F492" s="56"/>
      <c r="G492" s="56"/>
      <c r="H492" s="56"/>
      <c r="I492" s="56"/>
      <c r="J492" s="56"/>
    </row>
    <row r="493">
      <c r="A493" s="55"/>
      <c r="B493" s="56"/>
      <c r="C493" s="56"/>
      <c r="D493" s="56"/>
      <c r="E493" s="56"/>
      <c r="F493" s="56"/>
      <c r="G493" s="56"/>
      <c r="H493" s="56"/>
      <c r="I493" s="56"/>
      <c r="J493" s="56"/>
    </row>
    <row r="494">
      <c r="A494" s="55"/>
      <c r="B494" s="56"/>
      <c r="C494" s="56"/>
      <c r="D494" s="56"/>
      <c r="E494" s="56"/>
      <c r="F494" s="56"/>
      <c r="G494" s="56"/>
      <c r="H494" s="56"/>
      <c r="I494" s="56"/>
      <c r="J494" s="56"/>
    </row>
    <row r="495">
      <c r="A495" s="55"/>
      <c r="B495" s="56"/>
      <c r="C495" s="56"/>
      <c r="D495" s="56"/>
      <c r="E495" s="56"/>
      <c r="F495" s="56"/>
      <c r="G495" s="56"/>
      <c r="H495" s="56"/>
      <c r="I495" s="56"/>
      <c r="J495" s="56"/>
    </row>
    <row r="496">
      <c r="A496" s="55"/>
      <c r="B496" s="56"/>
      <c r="C496" s="56"/>
      <c r="D496" s="56"/>
      <c r="E496" s="56"/>
      <c r="F496" s="56"/>
      <c r="G496" s="56"/>
      <c r="H496" s="56"/>
      <c r="I496" s="56"/>
      <c r="J496" s="56"/>
    </row>
    <row r="497">
      <c r="A497" s="55"/>
      <c r="B497" s="56"/>
      <c r="C497" s="56"/>
      <c r="D497" s="56"/>
      <c r="E497" s="56"/>
      <c r="F497" s="56"/>
      <c r="G497" s="56"/>
      <c r="H497" s="56"/>
      <c r="I497" s="56"/>
      <c r="J497" s="56"/>
    </row>
    <row r="498">
      <c r="A498" s="55"/>
      <c r="B498" s="56"/>
      <c r="C498" s="56"/>
      <c r="D498" s="56"/>
      <c r="E498" s="56"/>
      <c r="F498" s="56"/>
      <c r="G498" s="56"/>
      <c r="H498" s="56"/>
      <c r="I498" s="56"/>
      <c r="J498" s="56"/>
    </row>
    <row r="499">
      <c r="A499" s="55"/>
      <c r="B499" s="56"/>
      <c r="C499" s="56"/>
      <c r="D499" s="56"/>
      <c r="E499" s="56"/>
      <c r="F499" s="56"/>
      <c r="G499" s="56"/>
      <c r="H499" s="56"/>
      <c r="I499" s="56"/>
      <c r="J499" s="56"/>
    </row>
    <row r="500">
      <c r="A500" s="55"/>
      <c r="B500" s="56"/>
      <c r="C500" s="56"/>
      <c r="D500" s="56"/>
      <c r="E500" s="56"/>
      <c r="F500" s="56"/>
      <c r="G500" s="56"/>
      <c r="H500" s="56"/>
      <c r="I500" s="56"/>
      <c r="J500" s="56"/>
    </row>
    <row r="501">
      <c r="A501" s="55"/>
      <c r="B501" s="56"/>
      <c r="C501" s="56"/>
      <c r="D501" s="56"/>
      <c r="E501" s="56"/>
      <c r="F501" s="56"/>
      <c r="G501" s="56"/>
      <c r="H501" s="56"/>
      <c r="I501" s="56"/>
      <c r="J501" s="56"/>
    </row>
    <row r="502">
      <c r="A502" s="55"/>
      <c r="B502" s="56"/>
      <c r="C502" s="56"/>
      <c r="D502" s="56"/>
      <c r="E502" s="56"/>
      <c r="F502" s="56"/>
      <c r="G502" s="56"/>
      <c r="H502" s="56"/>
      <c r="I502" s="56"/>
      <c r="J502" s="56"/>
    </row>
    <row r="503">
      <c r="A503" s="55"/>
      <c r="B503" s="56"/>
      <c r="C503" s="56"/>
      <c r="D503" s="56"/>
      <c r="E503" s="56"/>
      <c r="F503" s="56"/>
      <c r="G503" s="56"/>
      <c r="H503" s="56"/>
      <c r="I503" s="56"/>
      <c r="J503" s="56"/>
    </row>
    <row r="504">
      <c r="A504" s="55"/>
      <c r="B504" s="56"/>
      <c r="C504" s="56"/>
      <c r="D504" s="56"/>
      <c r="E504" s="56"/>
      <c r="F504" s="56"/>
      <c r="G504" s="56"/>
      <c r="H504" s="56"/>
      <c r="I504" s="56"/>
      <c r="J504" s="56"/>
    </row>
    <row r="505">
      <c r="A505" s="55"/>
      <c r="B505" s="56"/>
      <c r="C505" s="56"/>
      <c r="D505" s="56"/>
      <c r="E505" s="56"/>
      <c r="F505" s="56"/>
      <c r="G505" s="56"/>
      <c r="H505" s="56"/>
      <c r="I505" s="56"/>
      <c r="J505" s="56"/>
    </row>
    <row r="506">
      <c r="A506" s="55"/>
      <c r="B506" s="56"/>
      <c r="C506" s="56"/>
      <c r="D506" s="56"/>
      <c r="E506" s="56"/>
      <c r="F506" s="56"/>
      <c r="G506" s="56"/>
      <c r="H506" s="56"/>
      <c r="I506" s="56"/>
      <c r="J506" s="56"/>
    </row>
    <row r="507">
      <c r="A507" s="55"/>
      <c r="B507" s="56"/>
      <c r="C507" s="56"/>
      <c r="D507" s="56"/>
      <c r="E507" s="56"/>
      <c r="F507" s="56"/>
      <c r="G507" s="56"/>
      <c r="H507" s="56"/>
      <c r="I507" s="56"/>
      <c r="J507" s="56"/>
    </row>
    <row r="508">
      <c r="A508" s="55"/>
      <c r="B508" s="56"/>
      <c r="C508" s="56"/>
      <c r="D508" s="56"/>
      <c r="E508" s="56"/>
      <c r="F508" s="56"/>
      <c r="G508" s="56"/>
      <c r="H508" s="56"/>
      <c r="I508" s="56"/>
      <c r="J508" s="56"/>
    </row>
    <row r="509">
      <c r="A509" s="55"/>
      <c r="B509" s="56"/>
      <c r="C509" s="56"/>
      <c r="D509" s="56"/>
      <c r="E509" s="56"/>
      <c r="F509" s="56"/>
      <c r="G509" s="56"/>
      <c r="H509" s="56"/>
      <c r="I509" s="56"/>
      <c r="J509" s="56"/>
    </row>
    <row r="510">
      <c r="A510" s="55"/>
      <c r="B510" s="56"/>
      <c r="C510" s="56"/>
      <c r="D510" s="56"/>
      <c r="E510" s="56"/>
      <c r="F510" s="56"/>
      <c r="G510" s="56"/>
      <c r="H510" s="56"/>
      <c r="I510" s="56"/>
      <c r="J510" s="56"/>
    </row>
    <row r="511">
      <c r="A511" s="55"/>
      <c r="B511" s="56"/>
      <c r="C511" s="56"/>
      <c r="D511" s="56"/>
      <c r="E511" s="56"/>
      <c r="F511" s="56"/>
      <c r="G511" s="56"/>
      <c r="H511" s="56"/>
      <c r="I511" s="56"/>
      <c r="J511" s="56"/>
    </row>
    <row r="512">
      <c r="A512" s="55"/>
      <c r="B512" s="56"/>
      <c r="C512" s="56"/>
      <c r="D512" s="56"/>
      <c r="E512" s="56"/>
      <c r="F512" s="56"/>
      <c r="G512" s="56"/>
      <c r="H512" s="56"/>
      <c r="I512" s="56"/>
      <c r="J512" s="56"/>
    </row>
    <row r="513">
      <c r="A513" s="55"/>
      <c r="B513" s="56"/>
      <c r="C513" s="56"/>
      <c r="D513" s="56"/>
      <c r="E513" s="56"/>
      <c r="F513" s="56"/>
      <c r="G513" s="56"/>
      <c r="H513" s="56"/>
      <c r="I513" s="56"/>
      <c r="J513" s="56"/>
    </row>
    <row r="514">
      <c r="A514" s="55"/>
      <c r="B514" s="56"/>
      <c r="C514" s="56"/>
      <c r="D514" s="56"/>
      <c r="E514" s="56"/>
      <c r="F514" s="56"/>
      <c r="G514" s="56"/>
      <c r="H514" s="56"/>
      <c r="I514" s="56"/>
      <c r="J514" s="56"/>
    </row>
    <row r="515">
      <c r="A515" s="55"/>
      <c r="B515" s="56"/>
      <c r="C515" s="56"/>
      <c r="D515" s="56"/>
      <c r="E515" s="56"/>
      <c r="F515" s="56"/>
      <c r="G515" s="56"/>
      <c r="H515" s="56"/>
      <c r="I515" s="56"/>
      <c r="J515" s="56"/>
    </row>
    <row r="516">
      <c r="A516" s="55"/>
      <c r="B516" s="56"/>
      <c r="C516" s="56"/>
      <c r="D516" s="56"/>
      <c r="E516" s="56"/>
      <c r="F516" s="56"/>
      <c r="G516" s="56"/>
      <c r="H516" s="56"/>
      <c r="I516" s="56"/>
      <c r="J516" s="56"/>
    </row>
    <row r="517">
      <c r="A517" s="55"/>
      <c r="B517" s="56"/>
      <c r="C517" s="56"/>
      <c r="D517" s="56"/>
      <c r="E517" s="56"/>
      <c r="F517" s="56"/>
      <c r="G517" s="56"/>
      <c r="H517" s="56"/>
      <c r="I517" s="56"/>
      <c r="J517" s="56"/>
    </row>
    <row r="518">
      <c r="A518" s="55"/>
      <c r="B518" s="56"/>
      <c r="C518" s="56"/>
      <c r="D518" s="56"/>
      <c r="E518" s="56"/>
      <c r="F518" s="56"/>
      <c r="G518" s="56"/>
      <c r="H518" s="56"/>
      <c r="I518" s="56"/>
      <c r="J518" s="56"/>
    </row>
    <row r="519">
      <c r="A519" s="55"/>
      <c r="B519" s="56"/>
      <c r="C519" s="56"/>
      <c r="D519" s="56"/>
      <c r="E519" s="56"/>
      <c r="F519" s="56"/>
      <c r="G519" s="56"/>
      <c r="H519" s="56"/>
      <c r="I519" s="56"/>
      <c r="J519" s="56"/>
    </row>
    <row r="520">
      <c r="A520" s="55"/>
      <c r="B520" s="56"/>
      <c r="C520" s="56"/>
      <c r="D520" s="56"/>
      <c r="E520" s="56"/>
      <c r="F520" s="56"/>
      <c r="G520" s="56"/>
      <c r="H520" s="56"/>
      <c r="I520" s="56"/>
      <c r="J520" s="56"/>
    </row>
    <row r="521">
      <c r="A521" s="55"/>
      <c r="B521" s="56"/>
      <c r="C521" s="56"/>
      <c r="D521" s="56"/>
      <c r="E521" s="56"/>
      <c r="F521" s="56"/>
      <c r="G521" s="56"/>
      <c r="H521" s="56"/>
      <c r="I521" s="56"/>
      <c r="J521" s="56"/>
    </row>
    <row r="522">
      <c r="A522" s="55"/>
      <c r="B522" s="56"/>
      <c r="C522" s="56"/>
      <c r="D522" s="56"/>
      <c r="E522" s="56"/>
      <c r="F522" s="56"/>
      <c r="G522" s="56"/>
      <c r="H522" s="56"/>
      <c r="I522" s="56"/>
      <c r="J522" s="56"/>
    </row>
    <row r="523">
      <c r="A523" s="55"/>
      <c r="B523" s="56"/>
      <c r="C523" s="56"/>
      <c r="D523" s="56"/>
      <c r="E523" s="56"/>
      <c r="F523" s="56"/>
      <c r="G523" s="56"/>
      <c r="H523" s="56"/>
      <c r="I523" s="56"/>
      <c r="J523" s="56"/>
    </row>
    <row r="524">
      <c r="A524" s="55"/>
      <c r="B524" s="56"/>
      <c r="C524" s="56"/>
      <c r="D524" s="56"/>
      <c r="E524" s="56"/>
      <c r="F524" s="56"/>
      <c r="G524" s="56"/>
      <c r="H524" s="56"/>
      <c r="I524" s="56"/>
      <c r="J524" s="56"/>
    </row>
    <row r="525">
      <c r="A525" s="55"/>
      <c r="B525" s="56"/>
      <c r="C525" s="56"/>
      <c r="D525" s="56"/>
      <c r="E525" s="56"/>
      <c r="F525" s="56"/>
      <c r="G525" s="56"/>
      <c r="H525" s="56"/>
      <c r="I525" s="56"/>
      <c r="J525" s="56"/>
    </row>
    <row r="526">
      <c r="A526" s="55"/>
      <c r="B526" s="56"/>
      <c r="C526" s="56"/>
      <c r="D526" s="56"/>
      <c r="E526" s="56"/>
      <c r="F526" s="56"/>
      <c r="G526" s="56"/>
      <c r="H526" s="56"/>
      <c r="I526" s="56"/>
      <c r="J526" s="56"/>
    </row>
    <row r="527">
      <c r="A527" s="55"/>
      <c r="B527" s="56"/>
      <c r="C527" s="56"/>
      <c r="D527" s="56"/>
      <c r="E527" s="56"/>
      <c r="F527" s="56"/>
      <c r="G527" s="56"/>
      <c r="H527" s="56"/>
      <c r="I527" s="56"/>
      <c r="J527" s="56"/>
    </row>
    <row r="528">
      <c r="A528" s="55"/>
      <c r="B528" s="56"/>
      <c r="C528" s="56"/>
      <c r="D528" s="56"/>
      <c r="E528" s="56"/>
      <c r="F528" s="56"/>
      <c r="G528" s="56"/>
      <c r="H528" s="56"/>
      <c r="I528" s="56"/>
      <c r="J528" s="56"/>
    </row>
    <row r="529">
      <c r="A529" s="55"/>
      <c r="B529" s="56"/>
      <c r="C529" s="56"/>
      <c r="D529" s="56"/>
      <c r="E529" s="56"/>
      <c r="F529" s="56"/>
      <c r="G529" s="56"/>
      <c r="H529" s="56"/>
      <c r="I529" s="56"/>
      <c r="J529" s="56"/>
    </row>
    <row r="530">
      <c r="A530" s="55"/>
      <c r="B530" s="56"/>
      <c r="C530" s="56"/>
      <c r="D530" s="56"/>
      <c r="E530" s="56"/>
      <c r="F530" s="56"/>
      <c r="G530" s="56"/>
      <c r="H530" s="56"/>
      <c r="I530" s="56"/>
      <c r="J530" s="56"/>
    </row>
    <row r="531">
      <c r="A531" s="55"/>
      <c r="B531" s="56"/>
      <c r="C531" s="56"/>
      <c r="D531" s="56"/>
      <c r="E531" s="56"/>
      <c r="F531" s="56"/>
      <c r="G531" s="56"/>
      <c r="H531" s="56"/>
      <c r="I531" s="56"/>
      <c r="J531" s="56"/>
    </row>
    <row r="532">
      <c r="A532" s="55"/>
      <c r="B532" s="56"/>
      <c r="C532" s="56"/>
      <c r="D532" s="56"/>
      <c r="E532" s="56"/>
      <c r="F532" s="56"/>
      <c r="G532" s="56"/>
      <c r="H532" s="56"/>
      <c r="I532" s="56"/>
      <c r="J532" s="56"/>
    </row>
    <row r="533">
      <c r="A533" s="55"/>
      <c r="B533" s="56"/>
      <c r="C533" s="56"/>
      <c r="D533" s="56"/>
      <c r="E533" s="56"/>
      <c r="F533" s="56"/>
      <c r="G533" s="56"/>
      <c r="H533" s="56"/>
      <c r="I533" s="56"/>
      <c r="J533" s="56"/>
    </row>
    <row r="534">
      <c r="A534" s="55"/>
      <c r="B534" s="56"/>
      <c r="C534" s="56"/>
      <c r="D534" s="56"/>
      <c r="E534" s="56"/>
      <c r="F534" s="56"/>
      <c r="G534" s="56"/>
      <c r="H534" s="56"/>
      <c r="I534" s="56"/>
      <c r="J534" s="56"/>
    </row>
    <row r="535">
      <c r="A535" s="55"/>
      <c r="B535" s="56"/>
      <c r="C535" s="56"/>
      <c r="D535" s="56"/>
      <c r="E535" s="56"/>
      <c r="F535" s="56"/>
      <c r="G535" s="56"/>
      <c r="H535" s="56"/>
      <c r="I535" s="56"/>
      <c r="J535" s="56"/>
    </row>
    <row r="536">
      <c r="A536" s="55"/>
      <c r="B536" s="56"/>
      <c r="C536" s="56"/>
      <c r="D536" s="56"/>
      <c r="E536" s="56"/>
      <c r="F536" s="56"/>
      <c r="G536" s="56"/>
      <c r="H536" s="56"/>
      <c r="I536" s="56"/>
      <c r="J536" s="56"/>
    </row>
    <row r="537">
      <c r="A537" s="55"/>
      <c r="B537" s="56"/>
      <c r="C537" s="56"/>
      <c r="D537" s="56"/>
      <c r="E537" s="56"/>
      <c r="F537" s="56"/>
      <c r="G537" s="56"/>
      <c r="H537" s="56"/>
      <c r="I537" s="56"/>
      <c r="J537" s="56"/>
    </row>
    <row r="538">
      <c r="A538" s="55"/>
      <c r="B538" s="56"/>
      <c r="C538" s="56"/>
      <c r="D538" s="56"/>
      <c r="E538" s="56"/>
      <c r="F538" s="56"/>
      <c r="G538" s="56"/>
      <c r="H538" s="56"/>
      <c r="I538" s="56"/>
      <c r="J538" s="56"/>
    </row>
    <row r="539">
      <c r="A539" s="55"/>
      <c r="B539" s="56"/>
      <c r="C539" s="56"/>
      <c r="D539" s="56"/>
      <c r="E539" s="56"/>
      <c r="F539" s="56"/>
      <c r="G539" s="56"/>
      <c r="H539" s="56"/>
      <c r="I539" s="56"/>
      <c r="J539" s="56"/>
    </row>
    <row r="540">
      <c r="A540" s="55"/>
      <c r="B540" s="56"/>
      <c r="C540" s="56"/>
      <c r="D540" s="56"/>
      <c r="E540" s="56"/>
      <c r="F540" s="56"/>
      <c r="G540" s="56"/>
      <c r="H540" s="56"/>
      <c r="I540" s="56"/>
      <c r="J540" s="56"/>
    </row>
    <row r="541">
      <c r="A541" s="55"/>
      <c r="B541" s="56"/>
      <c r="C541" s="56"/>
      <c r="D541" s="56"/>
      <c r="E541" s="56"/>
      <c r="F541" s="56"/>
      <c r="G541" s="56"/>
      <c r="H541" s="56"/>
      <c r="I541" s="56"/>
      <c r="J541" s="56"/>
    </row>
    <row r="542">
      <c r="A542" s="55"/>
      <c r="B542" s="56"/>
      <c r="C542" s="56"/>
      <c r="D542" s="56"/>
      <c r="E542" s="56"/>
      <c r="F542" s="56"/>
      <c r="G542" s="56"/>
      <c r="H542" s="56"/>
      <c r="I542" s="56"/>
      <c r="J542" s="56"/>
    </row>
    <row r="543">
      <c r="A543" s="55"/>
      <c r="B543" s="56"/>
      <c r="C543" s="56"/>
      <c r="D543" s="56"/>
      <c r="E543" s="56"/>
      <c r="F543" s="56"/>
      <c r="G543" s="56"/>
      <c r="H543" s="56"/>
      <c r="I543" s="56"/>
      <c r="J543" s="56"/>
    </row>
    <row r="544">
      <c r="A544" s="55"/>
      <c r="B544" s="56"/>
      <c r="C544" s="56"/>
      <c r="D544" s="56"/>
      <c r="E544" s="56"/>
      <c r="F544" s="56"/>
      <c r="G544" s="56"/>
      <c r="H544" s="56"/>
      <c r="I544" s="56"/>
      <c r="J544" s="56"/>
    </row>
    <row r="545">
      <c r="A545" s="55"/>
      <c r="B545" s="56"/>
      <c r="C545" s="56"/>
      <c r="D545" s="56"/>
      <c r="E545" s="56"/>
      <c r="F545" s="56"/>
      <c r="G545" s="56"/>
      <c r="H545" s="56"/>
      <c r="I545" s="56"/>
      <c r="J545" s="56"/>
    </row>
    <row r="546">
      <c r="A546" s="55"/>
      <c r="B546" s="56"/>
      <c r="C546" s="56"/>
      <c r="D546" s="56"/>
      <c r="E546" s="56"/>
      <c r="F546" s="56"/>
      <c r="G546" s="56"/>
      <c r="H546" s="56"/>
      <c r="I546" s="56"/>
      <c r="J546" s="56"/>
    </row>
    <row r="547">
      <c r="A547" s="55"/>
      <c r="B547" s="56"/>
      <c r="C547" s="56"/>
      <c r="D547" s="56"/>
      <c r="E547" s="56"/>
      <c r="F547" s="56"/>
      <c r="G547" s="56"/>
      <c r="H547" s="56"/>
      <c r="I547" s="56"/>
      <c r="J547" s="56"/>
    </row>
    <row r="548">
      <c r="A548" s="55"/>
      <c r="B548" s="56"/>
      <c r="C548" s="56"/>
      <c r="D548" s="56"/>
      <c r="E548" s="56"/>
      <c r="F548" s="56"/>
      <c r="G548" s="56"/>
      <c r="H548" s="56"/>
      <c r="I548" s="56"/>
      <c r="J548" s="56"/>
    </row>
    <row r="549">
      <c r="A549" s="55"/>
      <c r="B549" s="56"/>
      <c r="C549" s="56"/>
      <c r="D549" s="56"/>
      <c r="E549" s="56"/>
      <c r="F549" s="56"/>
      <c r="G549" s="56"/>
      <c r="H549" s="56"/>
      <c r="I549" s="56"/>
      <c r="J549" s="56"/>
    </row>
    <row r="550">
      <c r="A550" s="55"/>
      <c r="B550" s="56"/>
      <c r="C550" s="56"/>
      <c r="D550" s="56"/>
      <c r="E550" s="56"/>
      <c r="F550" s="56"/>
      <c r="G550" s="56"/>
      <c r="H550" s="56"/>
      <c r="I550" s="56"/>
      <c r="J550" s="56"/>
    </row>
    <row r="551">
      <c r="A551" s="55"/>
      <c r="B551" s="56"/>
      <c r="C551" s="56"/>
      <c r="D551" s="56"/>
      <c r="E551" s="56"/>
      <c r="F551" s="56"/>
      <c r="G551" s="56"/>
      <c r="H551" s="56"/>
      <c r="I551" s="56"/>
      <c r="J551" s="56"/>
    </row>
    <row r="552">
      <c r="A552" s="55"/>
      <c r="B552" s="56"/>
      <c r="C552" s="56"/>
      <c r="D552" s="56"/>
      <c r="E552" s="56"/>
      <c r="F552" s="56"/>
      <c r="G552" s="56"/>
      <c r="H552" s="56"/>
      <c r="I552" s="56"/>
      <c r="J552" s="56"/>
    </row>
    <row r="553">
      <c r="A553" s="55"/>
      <c r="B553" s="56"/>
      <c r="C553" s="56"/>
      <c r="D553" s="56"/>
      <c r="E553" s="56"/>
      <c r="F553" s="56"/>
      <c r="G553" s="56"/>
      <c r="H553" s="56"/>
      <c r="I553" s="56"/>
      <c r="J553" s="56"/>
    </row>
    <row r="554">
      <c r="A554" s="55"/>
      <c r="B554" s="56"/>
      <c r="C554" s="56"/>
      <c r="D554" s="56"/>
      <c r="E554" s="56"/>
      <c r="F554" s="56"/>
      <c r="G554" s="56"/>
      <c r="H554" s="56"/>
      <c r="I554" s="56"/>
      <c r="J554" s="56"/>
    </row>
    <row r="555">
      <c r="A555" s="55"/>
      <c r="B555" s="56"/>
      <c r="C555" s="56"/>
      <c r="D555" s="56"/>
      <c r="E555" s="56"/>
      <c r="F555" s="56"/>
      <c r="G555" s="56"/>
      <c r="H555" s="56"/>
      <c r="I555" s="56"/>
      <c r="J555" s="56"/>
    </row>
    <row r="556">
      <c r="A556" s="55"/>
      <c r="B556" s="56"/>
      <c r="C556" s="56"/>
      <c r="D556" s="56"/>
      <c r="E556" s="56"/>
      <c r="F556" s="56"/>
      <c r="G556" s="56"/>
      <c r="H556" s="56"/>
      <c r="I556" s="56"/>
      <c r="J556" s="56"/>
    </row>
    <row r="557">
      <c r="A557" s="55"/>
      <c r="B557" s="56"/>
      <c r="C557" s="56"/>
      <c r="D557" s="56"/>
      <c r="E557" s="56"/>
      <c r="F557" s="56"/>
      <c r="G557" s="56"/>
      <c r="H557" s="56"/>
      <c r="I557" s="56"/>
      <c r="J557" s="56"/>
    </row>
    <row r="558">
      <c r="A558" s="55"/>
      <c r="B558" s="56"/>
      <c r="C558" s="56"/>
      <c r="D558" s="56"/>
      <c r="E558" s="56"/>
      <c r="F558" s="56"/>
      <c r="G558" s="56"/>
      <c r="H558" s="56"/>
      <c r="I558" s="56"/>
      <c r="J558" s="56"/>
    </row>
    <row r="559">
      <c r="A559" s="55"/>
      <c r="B559" s="56"/>
      <c r="C559" s="56"/>
      <c r="D559" s="56"/>
      <c r="E559" s="56"/>
      <c r="F559" s="56"/>
      <c r="G559" s="56"/>
      <c r="H559" s="56"/>
      <c r="I559" s="56"/>
      <c r="J559" s="56"/>
    </row>
    <row r="560">
      <c r="A560" s="55"/>
      <c r="B560" s="56"/>
      <c r="C560" s="56"/>
      <c r="D560" s="56"/>
      <c r="E560" s="56"/>
      <c r="F560" s="56"/>
      <c r="G560" s="56"/>
      <c r="H560" s="56"/>
      <c r="I560" s="56"/>
      <c r="J560" s="56"/>
    </row>
    <row r="561">
      <c r="A561" s="55"/>
      <c r="B561" s="56"/>
      <c r="C561" s="56"/>
      <c r="D561" s="56"/>
      <c r="E561" s="56"/>
      <c r="F561" s="56"/>
      <c r="G561" s="56"/>
      <c r="H561" s="56"/>
      <c r="I561" s="56"/>
      <c r="J561" s="56"/>
    </row>
    <row r="562">
      <c r="A562" s="55"/>
      <c r="B562" s="56"/>
      <c r="C562" s="56"/>
      <c r="D562" s="56"/>
      <c r="E562" s="56"/>
      <c r="F562" s="56"/>
      <c r="G562" s="56"/>
      <c r="H562" s="56"/>
      <c r="I562" s="56"/>
      <c r="J562" s="56"/>
    </row>
    <row r="563">
      <c r="A563" s="55"/>
      <c r="B563" s="56"/>
      <c r="C563" s="56"/>
      <c r="D563" s="56"/>
      <c r="E563" s="56"/>
      <c r="F563" s="56"/>
      <c r="G563" s="56"/>
      <c r="H563" s="56"/>
      <c r="I563" s="56"/>
      <c r="J563" s="56"/>
    </row>
    <row r="564">
      <c r="A564" s="55"/>
      <c r="B564" s="56"/>
      <c r="C564" s="56"/>
      <c r="D564" s="56"/>
      <c r="E564" s="56"/>
      <c r="F564" s="56"/>
      <c r="G564" s="56"/>
      <c r="H564" s="56"/>
      <c r="I564" s="56"/>
      <c r="J564" s="56"/>
    </row>
    <row r="565">
      <c r="A565" s="55"/>
      <c r="B565" s="56"/>
      <c r="C565" s="56"/>
      <c r="D565" s="56"/>
      <c r="E565" s="56"/>
      <c r="F565" s="56"/>
      <c r="G565" s="56"/>
      <c r="H565" s="56"/>
      <c r="I565" s="56"/>
      <c r="J565" s="56"/>
    </row>
    <row r="566">
      <c r="A566" s="55"/>
      <c r="B566" s="56"/>
      <c r="C566" s="56"/>
      <c r="D566" s="56"/>
      <c r="E566" s="56"/>
      <c r="F566" s="56"/>
      <c r="G566" s="56"/>
      <c r="H566" s="56"/>
      <c r="I566" s="56"/>
      <c r="J566" s="56"/>
    </row>
    <row r="567">
      <c r="A567" s="55"/>
      <c r="B567" s="56"/>
      <c r="C567" s="56"/>
      <c r="D567" s="56"/>
      <c r="E567" s="56"/>
      <c r="F567" s="56"/>
      <c r="G567" s="56"/>
      <c r="H567" s="56"/>
      <c r="I567" s="56"/>
      <c r="J567" s="56"/>
    </row>
    <row r="568">
      <c r="A568" s="55"/>
      <c r="B568" s="56"/>
      <c r="C568" s="56"/>
      <c r="D568" s="56"/>
      <c r="E568" s="56"/>
      <c r="F568" s="56"/>
      <c r="G568" s="56"/>
      <c r="H568" s="56"/>
      <c r="I568" s="56"/>
      <c r="J568" s="56"/>
    </row>
    <row r="569">
      <c r="A569" s="55"/>
      <c r="B569" s="56"/>
      <c r="C569" s="56"/>
      <c r="D569" s="56"/>
      <c r="E569" s="56"/>
      <c r="F569" s="56"/>
      <c r="G569" s="56"/>
      <c r="H569" s="56"/>
      <c r="I569" s="56"/>
      <c r="J569" s="56"/>
    </row>
    <row r="570">
      <c r="A570" s="55"/>
      <c r="B570" s="56"/>
      <c r="C570" s="56"/>
      <c r="D570" s="56"/>
      <c r="E570" s="56"/>
      <c r="F570" s="56"/>
      <c r="G570" s="56"/>
      <c r="H570" s="56"/>
      <c r="I570" s="56"/>
      <c r="J570" s="56"/>
    </row>
    <row r="571">
      <c r="A571" s="55"/>
      <c r="B571" s="56"/>
      <c r="C571" s="56"/>
      <c r="D571" s="56"/>
      <c r="E571" s="56"/>
      <c r="F571" s="56"/>
      <c r="G571" s="56"/>
      <c r="H571" s="56"/>
      <c r="I571" s="56"/>
      <c r="J571" s="56"/>
    </row>
    <row r="572">
      <c r="A572" s="55"/>
      <c r="B572" s="56"/>
      <c r="C572" s="56"/>
      <c r="D572" s="56"/>
      <c r="E572" s="56"/>
      <c r="F572" s="56"/>
      <c r="G572" s="56"/>
      <c r="H572" s="56"/>
      <c r="I572" s="56"/>
      <c r="J572" s="56"/>
    </row>
    <row r="573">
      <c r="A573" s="55"/>
      <c r="B573" s="56"/>
      <c r="C573" s="56"/>
      <c r="D573" s="56"/>
      <c r="E573" s="56"/>
      <c r="F573" s="56"/>
      <c r="G573" s="56"/>
      <c r="H573" s="56"/>
      <c r="I573" s="56"/>
      <c r="J573" s="56"/>
    </row>
    <row r="574">
      <c r="A574" s="55"/>
      <c r="B574" s="56"/>
      <c r="C574" s="56"/>
      <c r="D574" s="56"/>
      <c r="E574" s="56"/>
      <c r="F574" s="56"/>
      <c r="G574" s="56"/>
      <c r="H574" s="56"/>
      <c r="I574" s="56"/>
      <c r="J574" s="56"/>
    </row>
    <row r="575">
      <c r="A575" s="55"/>
      <c r="B575" s="56"/>
      <c r="C575" s="56"/>
      <c r="D575" s="56"/>
      <c r="E575" s="56"/>
      <c r="F575" s="56"/>
      <c r="G575" s="56"/>
      <c r="H575" s="56"/>
      <c r="I575" s="56"/>
      <c r="J575" s="56"/>
    </row>
    <row r="576">
      <c r="A576" s="55"/>
      <c r="B576" s="56"/>
      <c r="C576" s="56"/>
      <c r="D576" s="56"/>
      <c r="E576" s="56"/>
      <c r="F576" s="56"/>
      <c r="G576" s="56"/>
      <c r="H576" s="56"/>
      <c r="I576" s="56"/>
      <c r="J576" s="56"/>
    </row>
    <row r="577">
      <c r="A577" s="55"/>
      <c r="B577" s="56"/>
      <c r="C577" s="56"/>
      <c r="D577" s="56"/>
      <c r="E577" s="56"/>
      <c r="F577" s="56"/>
      <c r="G577" s="56"/>
      <c r="H577" s="56"/>
      <c r="I577" s="56"/>
      <c r="J577" s="56"/>
    </row>
    <row r="578">
      <c r="A578" s="55"/>
      <c r="B578" s="56"/>
      <c r="C578" s="56"/>
      <c r="D578" s="56"/>
      <c r="E578" s="56"/>
      <c r="F578" s="56"/>
      <c r="G578" s="56"/>
      <c r="H578" s="56"/>
      <c r="I578" s="56"/>
      <c r="J578" s="56"/>
    </row>
    <row r="579">
      <c r="A579" s="55"/>
      <c r="B579" s="56"/>
      <c r="C579" s="56"/>
      <c r="D579" s="56"/>
      <c r="E579" s="56"/>
      <c r="F579" s="56"/>
      <c r="G579" s="56"/>
      <c r="H579" s="56"/>
      <c r="I579" s="56"/>
      <c r="J579" s="56"/>
    </row>
    <row r="580">
      <c r="A580" s="55"/>
      <c r="B580" s="56"/>
      <c r="C580" s="56"/>
      <c r="D580" s="56"/>
      <c r="E580" s="56"/>
      <c r="F580" s="56"/>
      <c r="G580" s="56"/>
      <c r="H580" s="56"/>
      <c r="I580" s="56"/>
      <c r="J580" s="56"/>
    </row>
    <row r="581">
      <c r="A581" s="55"/>
      <c r="B581" s="56"/>
      <c r="C581" s="56"/>
      <c r="D581" s="56"/>
      <c r="E581" s="56"/>
      <c r="F581" s="56"/>
      <c r="G581" s="56"/>
      <c r="H581" s="56"/>
      <c r="I581" s="56"/>
      <c r="J581" s="56"/>
    </row>
    <row r="582">
      <c r="A582" s="55"/>
      <c r="B582" s="56"/>
      <c r="C582" s="56"/>
      <c r="D582" s="56"/>
      <c r="E582" s="56"/>
      <c r="F582" s="56"/>
      <c r="G582" s="56"/>
      <c r="H582" s="56"/>
      <c r="I582" s="56"/>
      <c r="J582" s="56"/>
    </row>
    <row r="583">
      <c r="A583" s="55"/>
      <c r="B583" s="56"/>
      <c r="C583" s="56"/>
      <c r="D583" s="56"/>
      <c r="E583" s="56"/>
      <c r="F583" s="56"/>
      <c r="G583" s="56"/>
      <c r="H583" s="56"/>
      <c r="I583" s="56"/>
      <c r="J583" s="56"/>
    </row>
    <row r="584">
      <c r="A584" s="55"/>
      <c r="B584" s="56"/>
      <c r="C584" s="56"/>
      <c r="D584" s="56"/>
      <c r="E584" s="56"/>
      <c r="F584" s="56"/>
      <c r="G584" s="56"/>
      <c r="H584" s="56"/>
      <c r="I584" s="56"/>
      <c r="J584" s="56"/>
    </row>
    <row r="585">
      <c r="A585" s="55"/>
      <c r="B585" s="56"/>
      <c r="C585" s="56"/>
      <c r="D585" s="56"/>
      <c r="E585" s="56"/>
      <c r="F585" s="56"/>
      <c r="G585" s="56"/>
      <c r="H585" s="56"/>
      <c r="I585" s="56"/>
      <c r="J585" s="56"/>
    </row>
    <row r="586">
      <c r="A586" s="55"/>
      <c r="B586" s="56"/>
      <c r="C586" s="56"/>
      <c r="D586" s="56"/>
      <c r="E586" s="56"/>
      <c r="F586" s="56"/>
      <c r="G586" s="56"/>
      <c r="H586" s="56"/>
      <c r="I586" s="56"/>
      <c r="J586" s="56"/>
    </row>
    <row r="587">
      <c r="A587" s="55"/>
      <c r="B587" s="56"/>
      <c r="C587" s="56"/>
      <c r="D587" s="56"/>
      <c r="E587" s="56"/>
      <c r="F587" s="56"/>
      <c r="G587" s="56"/>
      <c r="H587" s="56"/>
      <c r="I587" s="56"/>
      <c r="J587" s="56"/>
    </row>
    <row r="588">
      <c r="A588" s="55"/>
      <c r="B588" s="56"/>
      <c r="C588" s="56"/>
      <c r="D588" s="56"/>
      <c r="E588" s="56"/>
      <c r="F588" s="56"/>
      <c r="G588" s="56"/>
      <c r="H588" s="56"/>
      <c r="I588" s="56"/>
      <c r="J588" s="56"/>
    </row>
    <row r="589">
      <c r="A589" s="55"/>
      <c r="B589" s="56"/>
      <c r="C589" s="56"/>
      <c r="D589" s="56"/>
      <c r="E589" s="56"/>
      <c r="F589" s="56"/>
      <c r="G589" s="56"/>
      <c r="H589" s="56"/>
      <c r="I589" s="56"/>
      <c r="J589" s="56"/>
    </row>
    <row r="590">
      <c r="A590" s="55"/>
      <c r="B590" s="56"/>
      <c r="C590" s="56"/>
      <c r="D590" s="56"/>
      <c r="E590" s="56"/>
      <c r="F590" s="56"/>
      <c r="G590" s="56"/>
      <c r="H590" s="56"/>
      <c r="I590" s="56"/>
      <c r="J590" s="56"/>
    </row>
    <row r="591">
      <c r="A591" s="55"/>
      <c r="B591" s="56"/>
      <c r="C591" s="56"/>
      <c r="D591" s="56"/>
      <c r="E591" s="56"/>
      <c r="F591" s="56"/>
      <c r="G591" s="56"/>
      <c r="H591" s="56"/>
      <c r="I591" s="56"/>
      <c r="J591" s="56"/>
    </row>
    <row r="592">
      <c r="A592" s="55"/>
      <c r="B592" s="56"/>
      <c r="C592" s="56"/>
      <c r="D592" s="56"/>
      <c r="E592" s="56"/>
      <c r="F592" s="56"/>
      <c r="G592" s="56"/>
      <c r="H592" s="56"/>
      <c r="I592" s="56"/>
      <c r="J592" s="56"/>
    </row>
    <row r="593">
      <c r="A593" s="55"/>
      <c r="B593" s="56"/>
      <c r="C593" s="56"/>
      <c r="D593" s="56"/>
      <c r="E593" s="56"/>
      <c r="F593" s="56"/>
      <c r="G593" s="56"/>
      <c r="H593" s="56"/>
      <c r="I593" s="56"/>
      <c r="J593" s="56"/>
    </row>
    <row r="594">
      <c r="A594" s="55"/>
      <c r="B594" s="56"/>
      <c r="C594" s="56"/>
      <c r="D594" s="56"/>
      <c r="E594" s="56"/>
      <c r="F594" s="56"/>
      <c r="G594" s="56"/>
      <c r="H594" s="56"/>
      <c r="I594" s="56"/>
      <c r="J594" s="56"/>
    </row>
    <row r="595">
      <c r="A595" s="55"/>
      <c r="B595" s="56"/>
      <c r="C595" s="56"/>
      <c r="D595" s="56"/>
      <c r="E595" s="56"/>
      <c r="F595" s="56"/>
      <c r="G595" s="56"/>
      <c r="H595" s="56"/>
      <c r="I595" s="56"/>
      <c r="J595" s="56"/>
    </row>
    <row r="596">
      <c r="A596" s="55"/>
      <c r="B596" s="56"/>
      <c r="C596" s="56"/>
      <c r="D596" s="56"/>
      <c r="E596" s="56"/>
      <c r="F596" s="56"/>
      <c r="G596" s="56"/>
      <c r="H596" s="56"/>
      <c r="I596" s="56"/>
      <c r="J596" s="56"/>
    </row>
    <row r="597">
      <c r="A597" s="55"/>
      <c r="B597" s="56"/>
      <c r="C597" s="56"/>
      <c r="D597" s="56"/>
      <c r="E597" s="56"/>
      <c r="F597" s="56"/>
      <c r="G597" s="56"/>
      <c r="H597" s="56"/>
      <c r="I597" s="56"/>
      <c r="J597" s="56"/>
    </row>
    <row r="598">
      <c r="A598" s="55"/>
      <c r="B598" s="56"/>
      <c r="C598" s="56"/>
      <c r="D598" s="56"/>
      <c r="E598" s="56"/>
      <c r="F598" s="56"/>
      <c r="G598" s="56"/>
      <c r="H598" s="56"/>
      <c r="I598" s="56"/>
      <c r="J598" s="56"/>
    </row>
    <row r="599">
      <c r="A599" s="55"/>
      <c r="B599" s="56"/>
      <c r="C599" s="56"/>
      <c r="D599" s="56"/>
      <c r="E599" s="56"/>
      <c r="F599" s="56"/>
      <c r="G599" s="56"/>
      <c r="H599" s="56"/>
      <c r="I599" s="56"/>
      <c r="J599" s="56"/>
    </row>
    <row r="600">
      <c r="A600" s="55"/>
      <c r="B600" s="56"/>
      <c r="C600" s="56"/>
      <c r="D600" s="56"/>
      <c r="E600" s="56"/>
      <c r="F600" s="56"/>
      <c r="G600" s="56"/>
      <c r="H600" s="56"/>
      <c r="I600" s="56"/>
      <c r="J600" s="56"/>
    </row>
    <row r="601">
      <c r="A601" s="55"/>
      <c r="B601" s="56"/>
      <c r="C601" s="56"/>
      <c r="D601" s="56"/>
      <c r="E601" s="56"/>
      <c r="F601" s="56"/>
      <c r="G601" s="56"/>
      <c r="H601" s="56"/>
      <c r="I601" s="56"/>
      <c r="J601" s="56"/>
    </row>
    <row r="602">
      <c r="A602" s="55"/>
      <c r="B602" s="56"/>
      <c r="C602" s="56"/>
      <c r="D602" s="56"/>
      <c r="E602" s="56"/>
      <c r="F602" s="56"/>
      <c r="G602" s="56"/>
      <c r="H602" s="56"/>
      <c r="I602" s="56"/>
      <c r="J602" s="56"/>
    </row>
    <row r="603">
      <c r="A603" s="55"/>
      <c r="B603" s="56"/>
      <c r="C603" s="56"/>
      <c r="D603" s="56"/>
      <c r="E603" s="56"/>
      <c r="F603" s="56"/>
      <c r="G603" s="56"/>
      <c r="H603" s="56"/>
      <c r="I603" s="56"/>
      <c r="J603" s="56"/>
    </row>
    <row r="604">
      <c r="A604" s="55"/>
      <c r="B604" s="56"/>
      <c r="C604" s="56"/>
      <c r="D604" s="56"/>
      <c r="E604" s="56"/>
      <c r="F604" s="56"/>
      <c r="G604" s="56"/>
      <c r="H604" s="56"/>
      <c r="I604" s="56"/>
      <c r="J604" s="56"/>
    </row>
    <row r="605">
      <c r="A605" s="55"/>
      <c r="B605" s="56"/>
      <c r="C605" s="56"/>
      <c r="D605" s="56"/>
      <c r="E605" s="56"/>
      <c r="F605" s="56"/>
      <c r="G605" s="56"/>
      <c r="H605" s="56"/>
      <c r="I605" s="56"/>
      <c r="J605" s="56"/>
    </row>
    <row r="606">
      <c r="A606" s="55"/>
      <c r="B606" s="56"/>
      <c r="C606" s="56"/>
      <c r="D606" s="56"/>
      <c r="E606" s="56"/>
      <c r="F606" s="56"/>
      <c r="G606" s="56"/>
      <c r="H606" s="56"/>
      <c r="I606" s="56"/>
      <c r="J606" s="56"/>
    </row>
    <row r="607">
      <c r="A607" s="55"/>
      <c r="B607" s="56"/>
      <c r="C607" s="56"/>
      <c r="D607" s="56"/>
      <c r="E607" s="56"/>
      <c r="F607" s="56"/>
      <c r="G607" s="56"/>
      <c r="H607" s="56"/>
      <c r="I607" s="56"/>
      <c r="J607" s="56"/>
    </row>
    <row r="608">
      <c r="A608" s="55"/>
      <c r="B608" s="56"/>
      <c r="C608" s="56"/>
      <c r="D608" s="56"/>
      <c r="E608" s="56"/>
      <c r="F608" s="56"/>
      <c r="G608" s="56"/>
      <c r="H608" s="56"/>
      <c r="I608" s="56"/>
      <c r="J608" s="56"/>
    </row>
    <row r="609">
      <c r="A609" s="55"/>
      <c r="B609" s="56"/>
      <c r="C609" s="56"/>
      <c r="D609" s="56"/>
      <c r="E609" s="56"/>
      <c r="F609" s="56"/>
      <c r="G609" s="56"/>
      <c r="H609" s="56"/>
      <c r="I609" s="56"/>
      <c r="J609" s="56"/>
    </row>
    <row r="610">
      <c r="A610" s="55"/>
      <c r="B610" s="56"/>
      <c r="C610" s="56"/>
      <c r="D610" s="56"/>
      <c r="E610" s="56"/>
      <c r="F610" s="56"/>
      <c r="G610" s="56"/>
      <c r="H610" s="56"/>
      <c r="I610" s="56"/>
      <c r="J610" s="56"/>
    </row>
    <row r="611">
      <c r="A611" s="55"/>
      <c r="B611" s="56"/>
      <c r="C611" s="56"/>
      <c r="D611" s="56"/>
      <c r="E611" s="56"/>
      <c r="F611" s="56"/>
      <c r="G611" s="56"/>
      <c r="H611" s="56"/>
      <c r="I611" s="56"/>
      <c r="J611" s="56"/>
    </row>
    <row r="612">
      <c r="A612" s="55"/>
      <c r="B612" s="56"/>
      <c r="C612" s="56"/>
      <c r="D612" s="56"/>
      <c r="E612" s="56"/>
      <c r="F612" s="56"/>
      <c r="G612" s="56"/>
      <c r="H612" s="56"/>
      <c r="I612" s="56"/>
      <c r="J612" s="56"/>
    </row>
    <row r="613">
      <c r="A613" s="55"/>
      <c r="B613" s="56"/>
      <c r="C613" s="56"/>
      <c r="D613" s="56"/>
      <c r="E613" s="56"/>
      <c r="F613" s="56"/>
      <c r="G613" s="56"/>
      <c r="H613" s="56"/>
      <c r="I613" s="56"/>
      <c r="J613" s="56"/>
    </row>
    <row r="614">
      <c r="A614" s="55"/>
      <c r="B614" s="56"/>
      <c r="C614" s="56"/>
      <c r="D614" s="56"/>
      <c r="E614" s="56"/>
      <c r="F614" s="56"/>
      <c r="G614" s="56"/>
      <c r="H614" s="56"/>
      <c r="I614" s="56"/>
      <c r="J614" s="56"/>
    </row>
    <row r="615">
      <c r="A615" s="55"/>
      <c r="B615" s="56"/>
      <c r="C615" s="56"/>
      <c r="D615" s="56"/>
      <c r="E615" s="56"/>
      <c r="F615" s="56"/>
      <c r="G615" s="56"/>
      <c r="H615" s="56"/>
      <c r="I615" s="56"/>
      <c r="J615" s="56"/>
    </row>
    <row r="616">
      <c r="A616" s="55"/>
      <c r="B616" s="56"/>
      <c r="C616" s="56"/>
      <c r="D616" s="56"/>
      <c r="E616" s="56"/>
      <c r="F616" s="56"/>
      <c r="G616" s="56"/>
      <c r="H616" s="56"/>
      <c r="I616" s="56"/>
      <c r="J616" s="56"/>
    </row>
    <row r="617">
      <c r="A617" s="55"/>
      <c r="B617" s="56"/>
      <c r="C617" s="56"/>
      <c r="D617" s="56"/>
      <c r="E617" s="56"/>
      <c r="F617" s="56"/>
      <c r="G617" s="56"/>
      <c r="H617" s="56"/>
      <c r="I617" s="56"/>
      <c r="J617" s="56"/>
    </row>
    <row r="618">
      <c r="A618" s="55"/>
      <c r="B618" s="56"/>
      <c r="C618" s="56"/>
      <c r="D618" s="56"/>
      <c r="E618" s="56"/>
      <c r="F618" s="56"/>
      <c r="G618" s="56"/>
      <c r="H618" s="56"/>
      <c r="I618" s="56"/>
      <c r="J618" s="56"/>
    </row>
    <row r="619">
      <c r="A619" s="55"/>
      <c r="B619" s="56"/>
      <c r="C619" s="56"/>
      <c r="D619" s="56"/>
      <c r="E619" s="56"/>
      <c r="F619" s="56"/>
      <c r="G619" s="56"/>
      <c r="H619" s="56"/>
      <c r="I619" s="56"/>
      <c r="J619" s="56"/>
    </row>
    <row r="620">
      <c r="A620" s="55"/>
      <c r="B620" s="56"/>
      <c r="C620" s="56"/>
      <c r="D620" s="56"/>
      <c r="E620" s="56"/>
      <c r="F620" s="56"/>
      <c r="G620" s="56"/>
      <c r="H620" s="56"/>
      <c r="I620" s="56"/>
      <c r="J620" s="56"/>
    </row>
    <row r="621">
      <c r="A621" s="55"/>
      <c r="B621" s="56"/>
      <c r="C621" s="56"/>
      <c r="D621" s="56"/>
      <c r="E621" s="56"/>
      <c r="F621" s="56"/>
      <c r="G621" s="56"/>
      <c r="H621" s="56"/>
      <c r="I621" s="56"/>
      <c r="J621" s="56"/>
    </row>
    <row r="622">
      <c r="A622" s="55"/>
      <c r="B622" s="56"/>
      <c r="C622" s="56"/>
      <c r="D622" s="56"/>
      <c r="E622" s="56"/>
      <c r="F622" s="56"/>
      <c r="G622" s="56"/>
      <c r="H622" s="56"/>
      <c r="I622" s="56"/>
      <c r="J622" s="56"/>
    </row>
    <row r="623">
      <c r="A623" s="55"/>
      <c r="B623" s="56"/>
      <c r="C623" s="56"/>
      <c r="D623" s="56"/>
      <c r="E623" s="56"/>
      <c r="F623" s="56"/>
      <c r="G623" s="56"/>
      <c r="H623" s="56"/>
      <c r="I623" s="56"/>
      <c r="J623" s="56"/>
    </row>
    <row r="624">
      <c r="A624" s="55"/>
      <c r="B624" s="56"/>
      <c r="C624" s="56"/>
      <c r="D624" s="56"/>
      <c r="E624" s="56"/>
      <c r="F624" s="56"/>
      <c r="G624" s="56"/>
      <c r="H624" s="56"/>
      <c r="I624" s="56"/>
      <c r="J624" s="56"/>
    </row>
    <row r="625">
      <c r="A625" s="55"/>
      <c r="B625" s="56"/>
      <c r="C625" s="56"/>
      <c r="D625" s="56"/>
      <c r="E625" s="56"/>
      <c r="F625" s="56"/>
      <c r="G625" s="56"/>
      <c r="H625" s="56"/>
      <c r="I625" s="56"/>
      <c r="J625" s="56"/>
    </row>
    <row r="626">
      <c r="A626" s="55"/>
      <c r="B626" s="56"/>
      <c r="C626" s="56"/>
      <c r="D626" s="56"/>
      <c r="E626" s="56"/>
      <c r="F626" s="56"/>
      <c r="G626" s="56"/>
      <c r="H626" s="56"/>
      <c r="I626" s="56"/>
      <c r="J626" s="56"/>
    </row>
    <row r="627">
      <c r="A627" s="55"/>
      <c r="B627" s="56"/>
      <c r="C627" s="56"/>
      <c r="D627" s="56"/>
      <c r="E627" s="56"/>
      <c r="F627" s="56"/>
      <c r="G627" s="56"/>
      <c r="H627" s="56"/>
      <c r="I627" s="56"/>
      <c r="J627" s="56"/>
    </row>
    <row r="628">
      <c r="A628" s="55"/>
      <c r="B628" s="56"/>
      <c r="C628" s="56"/>
      <c r="D628" s="56"/>
      <c r="E628" s="56"/>
      <c r="F628" s="56"/>
      <c r="G628" s="56"/>
      <c r="H628" s="56"/>
      <c r="I628" s="56"/>
      <c r="J628" s="56"/>
    </row>
    <row r="629">
      <c r="A629" s="55"/>
      <c r="B629" s="56"/>
      <c r="C629" s="56"/>
      <c r="D629" s="56"/>
      <c r="E629" s="56"/>
      <c r="F629" s="56"/>
      <c r="G629" s="56"/>
      <c r="H629" s="56"/>
      <c r="I629" s="56"/>
      <c r="J629" s="56"/>
    </row>
    <row r="630">
      <c r="A630" s="55"/>
      <c r="B630" s="56"/>
      <c r="C630" s="56"/>
      <c r="D630" s="56"/>
      <c r="E630" s="56"/>
      <c r="F630" s="56"/>
      <c r="G630" s="56"/>
      <c r="H630" s="56"/>
      <c r="I630" s="56"/>
      <c r="J630" s="56"/>
    </row>
    <row r="631">
      <c r="A631" s="55"/>
      <c r="B631" s="56"/>
      <c r="C631" s="56"/>
      <c r="D631" s="56"/>
      <c r="E631" s="56"/>
      <c r="F631" s="56"/>
      <c r="G631" s="56"/>
      <c r="H631" s="56"/>
      <c r="I631" s="56"/>
      <c r="J631" s="56"/>
    </row>
    <row r="632">
      <c r="A632" s="55"/>
      <c r="B632" s="56"/>
      <c r="C632" s="56"/>
      <c r="D632" s="56"/>
      <c r="E632" s="56"/>
      <c r="F632" s="56"/>
      <c r="G632" s="56"/>
      <c r="H632" s="56"/>
      <c r="I632" s="56"/>
      <c r="J632" s="56"/>
    </row>
    <row r="633">
      <c r="A633" s="55"/>
      <c r="B633" s="56"/>
      <c r="C633" s="56"/>
      <c r="D633" s="56"/>
      <c r="E633" s="56"/>
      <c r="F633" s="56"/>
      <c r="G633" s="56"/>
      <c r="H633" s="56"/>
      <c r="I633" s="56"/>
      <c r="J633" s="56"/>
    </row>
    <row r="634">
      <c r="A634" s="55"/>
      <c r="B634" s="56"/>
      <c r="C634" s="56"/>
      <c r="D634" s="56"/>
      <c r="E634" s="56"/>
      <c r="F634" s="56"/>
      <c r="G634" s="56"/>
      <c r="H634" s="56"/>
      <c r="I634" s="56"/>
      <c r="J634" s="56"/>
    </row>
    <row r="635">
      <c r="A635" s="55"/>
      <c r="B635" s="56"/>
      <c r="C635" s="56"/>
      <c r="D635" s="56"/>
      <c r="E635" s="56"/>
      <c r="F635" s="56"/>
      <c r="G635" s="56"/>
      <c r="H635" s="56"/>
      <c r="I635" s="56"/>
      <c r="J635" s="56"/>
    </row>
    <row r="636">
      <c r="A636" s="55"/>
      <c r="B636" s="56"/>
      <c r="C636" s="56"/>
      <c r="D636" s="56"/>
      <c r="E636" s="56"/>
      <c r="F636" s="56"/>
      <c r="G636" s="56"/>
      <c r="H636" s="56"/>
      <c r="I636" s="56"/>
      <c r="J636" s="56"/>
    </row>
    <row r="637">
      <c r="A637" s="55"/>
      <c r="B637" s="56"/>
      <c r="C637" s="56"/>
      <c r="D637" s="56"/>
      <c r="E637" s="56"/>
      <c r="F637" s="56"/>
      <c r="G637" s="56"/>
      <c r="H637" s="56"/>
      <c r="I637" s="56"/>
      <c r="J637" s="56"/>
    </row>
    <row r="638">
      <c r="A638" s="55"/>
      <c r="B638" s="56"/>
      <c r="C638" s="56"/>
      <c r="D638" s="56"/>
      <c r="E638" s="56"/>
      <c r="F638" s="56"/>
      <c r="G638" s="56"/>
      <c r="H638" s="56"/>
      <c r="I638" s="56"/>
      <c r="J638" s="56"/>
    </row>
    <row r="639">
      <c r="A639" s="55"/>
      <c r="B639" s="56"/>
      <c r="C639" s="56"/>
      <c r="D639" s="56"/>
      <c r="E639" s="56"/>
      <c r="F639" s="56"/>
      <c r="G639" s="56"/>
      <c r="H639" s="56"/>
      <c r="I639" s="56"/>
      <c r="J639" s="56"/>
    </row>
    <row r="640">
      <c r="A640" s="55"/>
      <c r="B640" s="56"/>
      <c r="C640" s="56"/>
      <c r="D640" s="56"/>
      <c r="E640" s="56"/>
      <c r="F640" s="56"/>
      <c r="G640" s="56"/>
      <c r="H640" s="56"/>
      <c r="I640" s="56"/>
      <c r="J640" s="56"/>
    </row>
    <row r="641">
      <c r="A641" s="55"/>
      <c r="B641" s="56"/>
      <c r="C641" s="56"/>
      <c r="D641" s="56"/>
      <c r="E641" s="56"/>
      <c r="F641" s="56"/>
      <c r="G641" s="56"/>
      <c r="H641" s="56"/>
      <c r="I641" s="56"/>
      <c r="J641" s="56"/>
    </row>
    <row r="642">
      <c r="A642" s="55"/>
      <c r="B642" s="56"/>
      <c r="C642" s="56"/>
      <c r="D642" s="56"/>
      <c r="E642" s="56"/>
      <c r="F642" s="56"/>
      <c r="G642" s="56"/>
      <c r="H642" s="56"/>
      <c r="I642" s="56"/>
      <c r="J642" s="56"/>
    </row>
    <row r="643">
      <c r="A643" s="55"/>
      <c r="B643" s="56"/>
      <c r="C643" s="56"/>
      <c r="D643" s="56"/>
      <c r="E643" s="56"/>
      <c r="F643" s="56"/>
      <c r="G643" s="56"/>
      <c r="H643" s="56"/>
      <c r="I643" s="56"/>
      <c r="J643" s="56"/>
    </row>
    <row r="644">
      <c r="A644" s="55"/>
      <c r="B644" s="56"/>
      <c r="C644" s="56"/>
      <c r="D644" s="56"/>
      <c r="E644" s="56"/>
      <c r="F644" s="56"/>
      <c r="G644" s="56"/>
      <c r="H644" s="56"/>
      <c r="I644" s="56"/>
      <c r="J644" s="56"/>
    </row>
    <row r="645">
      <c r="A645" s="55"/>
      <c r="B645" s="56"/>
      <c r="C645" s="56"/>
      <c r="D645" s="56"/>
      <c r="E645" s="56"/>
      <c r="F645" s="56"/>
      <c r="G645" s="56"/>
      <c r="H645" s="56"/>
      <c r="I645" s="56"/>
      <c r="J645" s="56"/>
    </row>
    <row r="646">
      <c r="A646" s="55"/>
      <c r="B646" s="56"/>
      <c r="C646" s="56"/>
      <c r="D646" s="56"/>
      <c r="E646" s="56"/>
      <c r="F646" s="56"/>
      <c r="G646" s="56"/>
      <c r="H646" s="56"/>
      <c r="I646" s="56"/>
      <c r="J646" s="56"/>
    </row>
    <row r="647">
      <c r="A647" s="55"/>
      <c r="B647" s="56"/>
      <c r="C647" s="56"/>
      <c r="D647" s="56"/>
      <c r="E647" s="56"/>
      <c r="F647" s="56"/>
      <c r="G647" s="56"/>
      <c r="H647" s="56"/>
      <c r="I647" s="56"/>
      <c r="J647" s="56"/>
    </row>
    <row r="648">
      <c r="A648" s="55"/>
      <c r="B648" s="56"/>
      <c r="C648" s="56"/>
      <c r="D648" s="56"/>
      <c r="E648" s="56"/>
      <c r="F648" s="56"/>
      <c r="G648" s="56"/>
      <c r="H648" s="56"/>
      <c r="I648" s="56"/>
      <c r="J648" s="56"/>
    </row>
    <row r="649">
      <c r="A649" s="55"/>
      <c r="B649" s="56"/>
      <c r="C649" s="56"/>
      <c r="D649" s="56"/>
      <c r="E649" s="56"/>
      <c r="F649" s="56"/>
      <c r="G649" s="56"/>
      <c r="H649" s="56"/>
      <c r="I649" s="56"/>
      <c r="J649" s="56"/>
    </row>
    <row r="650">
      <c r="A650" s="55"/>
      <c r="B650" s="56"/>
      <c r="C650" s="56"/>
      <c r="D650" s="56"/>
      <c r="E650" s="56"/>
      <c r="F650" s="56"/>
      <c r="G650" s="56"/>
      <c r="H650" s="56"/>
      <c r="I650" s="56"/>
      <c r="J650" s="56"/>
    </row>
    <row r="651">
      <c r="A651" s="55"/>
      <c r="B651" s="56"/>
      <c r="C651" s="56"/>
      <c r="D651" s="56"/>
      <c r="E651" s="56"/>
      <c r="F651" s="56"/>
      <c r="G651" s="56"/>
      <c r="H651" s="56"/>
      <c r="I651" s="56"/>
      <c r="J651" s="56"/>
    </row>
    <row r="652">
      <c r="A652" s="55"/>
      <c r="B652" s="56"/>
      <c r="C652" s="56"/>
      <c r="D652" s="56"/>
      <c r="E652" s="56"/>
      <c r="F652" s="56"/>
      <c r="G652" s="56"/>
      <c r="H652" s="56"/>
      <c r="I652" s="56"/>
      <c r="J652" s="56"/>
    </row>
    <row r="653">
      <c r="A653" s="55"/>
      <c r="B653" s="56"/>
      <c r="C653" s="56"/>
      <c r="D653" s="56"/>
      <c r="E653" s="56"/>
      <c r="F653" s="56"/>
      <c r="G653" s="56"/>
      <c r="H653" s="56"/>
      <c r="I653" s="56"/>
      <c r="J653" s="56"/>
    </row>
    <row r="654">
      <c r="A654" s="55"/>
      <c r="B654" s="56"/>
      <c r="C654" s="56"/>
      <c r="D654" s="56"/>
      <c r="E654" s="56"/>
      <c r="F654" s="56"/>
      <c r="G654" s="56"/>
      <c r="H654" s="56"/>
      <c r="I654" s="56"/>
      <c r="J654" s="56"/>
    </row>
    <row r="655">
      <c r="A655" s="55"/>
      <c r="B655" s="56"/>
      <c r="C655" s="56"/>
      <c r="D655" s="56"/>
      <c r="E655" s="56"/>
      <c r="F655" s="56"/>
      <c r="G655" s="56"/>
      <c r="H655" s="56"/>
      <c r="I655" s="56"/>
      <c r="J655" s="56"/>
    </row>
    <row r="656">
      <c r="A656" s="55"/>
      <c r="B656" s="56"/>
      <c r="C656" s="56"/>
      <c r="D656" s="56"/>
      <c r="E656" s="56"/>
      <c r="F656" s="56"/>
      <c r="G656" s="56"/>
      <c r="H656" s="56"/>
      <c r="I656" s="56"/>
      <c r="J656" s="56"/>
    </row>
    <row r="657">
      <c r="A657" s="55"/>
      <c r="B657" s="56"/>
      <c r="C657" s="56"/>
      <c r="D657" s="56"/>
      <c r="E657" s="56"/>
      <c r="F657" s="56"/>
      <c r="G657" s="56"/>
      <c r="H657" s="56"/>
      <c r="I657" s="56"/>
      <c r="J657" s="56"/>
    </row>
    <row r="658">
      <c r="A658" s="55"/>
      <c r="B658" s="56"/>
      <c r="C658" s="56"/>
      <c r="D658" s="56"/>
      <c r="E658" s="56"/>
      <c r="F658" s="56"/>
      <c r="G658" s="56"/>
      <c r="H658" s="56"/>
      <c r="I658" s="56"/>
      <c r="J658" s="56"/>
    </row>
    <row r="659">
      <c r="A659" s="55"/>
      <c r="B659" s="56"/>
      <c r="C659" s="56"/>
      <c r="D659" s="56"/>
      <c r="E659" s="56"/>
      <c r="F659" s="56"/>
      <c r="G659" s="56"/>
      <c r="H659" s="56"/>
      <c r="I659" s="56"/>
      <c r="J659" s="56"/>
    </row>
    <row r="660">
      <c r="A660" s="55"/>
      <c r="B660" s="56"/>
      <c r="C660" s="56"/>
      <c r="D660" s="56"/>
      <c r="E660" s="56"/>
      <c r="F660" s="56"/>
      <c r="G660" s="56"/>
      <c r="H660" s="56"/>
      <c r="I660" s="56"/>
      <c r="J660" s="56"/>
    </row>
    <row r="661">
      <c r="A661" s="55"/>
      <c r="B661" s="56"/>
      <c r="C661" s="56"/>
      <c r="D661" s="56"/>
      <c r="E661" s="56"/>
      <c r="F661" s="56"/>
      <c r="G661" s="56"/>
      <c r="H661" s="56"/>
      <c r="I661" s="56"/>
      <c r="J661" s="56"/>
    </row>
    <row r="662">
      <c r="A662" s="55"/>
      <c r="B662" s="56"/>
      <c r="C662" s="56"/>
      <c r="D662" s="56"/>
      <c r="E662" s="56"/>
      <c r="F662" s="56"/>
      <c r="G662" s="56"/>
      <c r="H662" s="56"/>
      <c r="I662" s="56"/>
      <c r="J662" s="56"/>
    </row>
    <row r="663">
      <c r="A663" s="55"/>
      <c r="B663" s="56"/>
      <c r="C663" s="56"/>
      <c r="D663" s="56"/>
      <c r="E663" s="56"/>
      <c r="F663" s="56"/>
      <c r="G663" s="56"/>
      <c r="H663" s="56"/>
      <c r="I663" s="56"/>
      <c r="J663" s="56"/>
    </row>
    <row r="664">
      <c r="A664" s="55"/>
      <c r="B664" s="56"/>
      <c r="C664" s="56"/>
      <c r="D664" s="56"/>
      <c r="E664" s="56"/>
      <c r="F664" s="56"/>
      <c r="G664" s="56"/>
      <c r="H664" s="56"/>
      <c r="I664" s="56"/>
      <c r="J664" s="56"/>
    </row>
    <row r="665">
      <c r="A665" s="55"/>
      <c r="B665" s="56"/>
      <c r="C665" s="56"/>
      <c r="D665" s="56"/>
      <c r="E665" s="56"/>
      <c r="F665" s="56"/>
      <c r="G665" s="56"/>
      <c r="H665" s="56"/>
      <c r="I665" s="56"/>
      <c r="J665" s="56"/>
    </row>
    <row r="666">
      <c r="A666" s="55"/>
      <c r="B666" s="56"/>
      <c r="C666" s="56"/>
      <c r="D666" s="56"/>
      <c r="E666" s="56"/>
      <c r="F666" s="56"/>
      <c r="G666" s="56"/>
      <c r="H666" s="56"/>
      <c r="I666" s="56"/>
      <c r="J666" s="56"/>
    </row>
    <row r="667">
      <c r="A667" s="55"/>
      <c r="B667" s="56"/>
      <c r="C667" s="56"/>
      <c r="D667" s="56"/>
      <c r="E667" s="56"/>
      <c r="F667" s="56"/>
      <c r="G667" s="56"/>
      <c r="H667" s="56"/>
      <c r="I667" s="56"/>
      <c r="J667" s="56"/>
    </row>
    <row r="668">
      <c r="A668" s="55"/>
      <c r="B668" s="56"/>
      <c r="C668" s="56"/>
      <c r="D668" s="56"/>
      <c r="E668" s="56"/>
      <c r="F668" s="56"/>
      <c r="G668" s="56"/>
      <c r="H668" s="56"/>
      <c r="I668" s="56"/>
      <c r="J668" s="56"/>
    </row>
    <row r="669">
      <c r="A669" s="55"/>
      <c r="B669" s="56"/>
      <c r="C669" s="56"/>
      <c r="D669" s="56"/>
      <c r="E669" s="56"/>
      <c r="F669" s="56"/>
      <c r="G669" s="56"/>
      <c r="H669" s="56"/>
      <c r="I669" s="56"/>
      <c r="J669" s="56"/>
    </row>
    <row r="670">
      <c r="A670" s="55"/>
      <c r="B670" s="56"/>
      <c r="C670" s="56"/>
      <c r="D670" s="56"/>
      <c r="E670" s="56"/>
      <c r="F670" s="56"/>
      <c r="G670" s="56"/>
      <c r="H670" s="56"/>
      <c r="I670" s="56"/>
      <c r="J670" s="56"/>
    </row>
    <row r="671">
      <c r="A671" s="55"/>
      <c r="B671" s="56"/>
      <c r="C671" s="56"/>
      <c r="D671" s="56"/>
      <c r="E671" s="56"/>
      <c r="F671" s="56"/>
      <c r="G671" s="56"/>
      <c r="H671" s="56"/>
      <c r="I671" s="56"/>
      <c r="J671" s="56"/>
    </row>
    <row r="672">
      <c r="A672" s="55"/>
      <c r="B672" s="56"/>
      <c r="C672" s="56"/>
      <c r="D672" s="56"/>
      <c r="E672" s="56"/>
      <c r="F672" s="56"/>
      <c r="G672" s="56"/>
      <c r="H672" s="56"/>
      <c r="I672" s="56"/>
      <c r="J672" s="56"/>
    </row>
    <row r="673">
      <c r="A673" s="55"/>
      <c r="B673" s="56"/>
      <c r="C673" s="56"/>
      <c r="D673" s="56"/>
      <c r="E673" s="56"/>
      <c r="F673" s="56"/>
      <c r="G673" s="56"/>
      <c r="H673" s="56"/>
      <c r="I673" s="56"/>
      <c r="J673" s="56"/>
    </row>
    <row r="674">
      <c r="A674" s="55"/>
      <c r="B674" s="56"/>
      <c r="C674" s="56"/>
      <c r="D674" s="56"/>
      <c r="E674" s="56"/>
      <c r="F674" s="56"/>
      <c r="G674" s="56"/>
      <c r="H674" s="56"/>
      <c r="I674" s="56"/>
      <c r="J674" s="56"/>
    </row>
    <row r="675">
      <c r="A675" s="55"/>
      <c r="B675" s="56"/>
      <c r="C675" s="56"/>
      <c r="D675" s="56"/>
      <c r="E675" s="56"/>
      <c r="F675" s="56"/>
      <c r="G675" s="56"/>
      <c r="H675" s="56"/>
      <c r="I675" s="56"/>
      <c r="J675" s="56"/>
    </row>
    <row r="676">
      <c r="A676" s="55"/>
      <c r="B676" s="56"/>
      <c r="C676" s="56"/>
      <c r="D676" s="56"/>
      <c r="E676" s="56"/>
      <c r="F676" s="56"/>
      <c r="G676" s="56"/>
      <c r="H676" s="56"/>
      <c r="I676" s="56"/>
      <c r="J676" s="56"/>
    </row>
    <row r="677">
      <c r="A677" s="55"/>
      <c r="B677" s="56"/>
      <c r="C677" s="56"/>
      <c r="D677" s="56"/>
      <c r="E677" s="56"/>
      <c r="F677" s="56"/>
      <c r="G677" s="56"/>
      <c r="H677" s="56"/>
      <c r="I677" s="56"/>
      <c r="J677" s="56"/>
    </row>
    <row r="678">
      <c r="A678" s="55"/>
      <c r="B678" s="56"/>
      <c r="C678" s="56"/>
      <c r="D678" s="56"/>
      <c r="E678" s="56"/>
      <c r="F678" s="56"/>
      <c r="G678" s="56"/>
      <c r="H678" s="56"/>
      <c r="I678" s="56"/>
      <c r="J678" s="56"/>
    </row>
    <row r="679">
      <c r="A679" s="55"/>
      <c r="B679" s="56"/>
      <c r="C679" s="56"/>
      <c r="D679" s="56"/>
      <c r="E679" s="56"/>
      <c r="F679" s="56"/>
      <c r="G679" s="56"/>
      <c r="H679" s="56"/>
      <c r="I679" s="56"/>
      <c r="J679" s="56"/>
    </row>
    <row r="680">
      <c r="A680" s="55"/>
      <c r="B680" s="56"/>
      <c r="C680" s="56"/>
      <c r="D680" s="56"/>
      <c r="E680" s="56"/>
      <c r="F680" s="56"/>
      <c r="G680" s="56"/>
      <c r="H680" s="56"/>
      <c r="I680" s="56"/>
      <c r="J680" s="56"/>
    </row>
    <row r="681">
      <c r="A681" s="55"/>
      <c r="B681" s="56"/>
      <c r="C681" s="56"/>
      <c r="D681" s="56"/>
      <c r="E681" s="56"/>
      <c r="F681" s="56"/>
      <c r="G681" s="56"/>
      <c r="H681" s="56"/>
      <c r="I681" s="56"/>
      <c r="J681" s="56"/>
    </row>
    <row r="682">
      <c r="A682" s="55"/>
      <c r="B682" s="56"/>
      <c r="C682" s="56"/>
      <c r="D682" s="56"/>
      <c r="E682" s="56"/>
      <c r="F682" s="56"/>
      <c r="G682" s="56"/>
      <c r="H682" s="56"/>
      <c r="I682" s="56"/>
      <c r="J682" s="56"/>
    </row>
    <row r="683">
      <c r="A683" s="55"/>
      <c r="B683" s="56"/>
      <c r="C683" s="56"/>
      <c r="D683" s="56"/>
      <c r="E683" s="56"/>
      <c r="F683" s="56"/>
      <c r="G683" s="56"/>
      <c r="H683" s="56"/>
      <c r="I683" s="56"/>
      <c r="J683" s="56"/>
    </row>
    <row r="684">
      <c r="A684" s="55"/>
      <c r="B684" s="56"/>
      <c r="C684" s="56"/>
      <c r="D684" s="56"/>
      <c r="E684" s="56"/>
      <c r="F684" s="56"/>
      <c r="G684" s="56"/>
      <c r="H684" s="56"/>
      <c r="I684" s="56"/>
      <c r="J684" s="56"/>
    </row>
    <row r="685">
      <c r="A685" s="55"/>
      <c r="B685" s="56"/>
      <c r="C685" s="56"/>
      <c r="D685" s="56"/>
      <c r="E685" s="56"/>
      <c r="F685" s="56"/>
      <c r="G685" s="56"/>
      <c r="H685" s="56"/>
      <c r="I685" s="56"/>
      <c r="J685" s="56"/>
    </row>
    <row r="686">
      <c r="A686" s="55"/>
      <c r="B686" s="56"/>
      <c r="C686" s="56"/>
      <c r="D686" s="56"/>
      <c r="E686" s="56"/>
      <c r="F686" s="56"/>
      <c r="G686" s="56"/>
      <c r="H686" s="56"/>
      <c r="I686" s="56"/>
      <c r="J686" s="56"/>
    </row>
    <row r="687">
      <c r="A687" s="55"/>
      <c r="B687" s="56"/>
      <c r="C687" s="56"/>
      <c r="D687" s="56"/>
      <c r="E687" s="56"/>
      <c r="F687" s="56"/>
      <c r="G687" s="56"/>
      <c r="H687" s="56"/>
      <c r="I687" s="56"/>
      <c r="J687" s="56"/>
    </row>
    <row r="688">
      <c r="A688" s="55"/>
      <c r="B688" s="56"/>
      <c r="C688" s="56"/>
      <c r="D688" s="56"/>
      <c r="E688" s="56"/>
      <c r="F688" s="56"/>
      <c r="G688" s="56"/>
      <c r="H688" s="56"/>
      <c r="I688" s="56"/>
      <c r="J688" s="56"/>
    </row>
    <row r="689">
      <c r="A689" s="55"/>
      <c r="B689" s="56"/>
      <c r="C689" s="56"/>
      <c r="D689" s="56"/>
      <c r="E689" s="56"/>
      <c r="F689" s="56"/>
      <c r="G689" s="56"/>
      <c r="H689" s="56"/>
      <c r="I689" s="56"/>
      <c r="J689" s="56"/>
    </row>
    <row r="690">
      <c r="A690" s="55"/>
      <c r="B690" s="56"/>
      <c r="C690" s="56"/>
      <c r="D690" s="56"/>
      <c r="E690" s="56"/>
      <c r="F690" s="56"/>
      <c r="G690" s="56"/>
      <c r="H690" s="56"/>
      <c r="I690" s="56"/>
      <c r="J690" s="56"/>
    </row>
    <row r="691">
      <c r="A691" s="55"/>
      <c r="B691" s="56"/>
      <c r="C691" s="56"/>
      <c r="D691" s="56"/>
      <c r="E691" s="56"/>
      <c r="F691" s="56"/>
      <c r="G691" s="56"/>
      <c r="H691" s="56"/>
      <c r="I691" s="56"/>
      <c r="J691" s="56"/>
    </row>
    <row r="692">
      <c r="A692" s="55"/>
      <c r="B692" s="56"/>
      <c r="C692" s="56"/>
      <c r="D692" s="56"/>
      <c r="E692" s="56"/>
      <c r="F692" s="56"/>
      <c r="G692" s="56"/>
      <c r="H692" s="56"/>
      <c r="I692" s="56"/>
      <c r="J692" s="56"/>
    </row>
    <row r="693">
      <c r="A693" s="55"/>
      <c r="B693" s="56"/>
      <c r="C693" s="56"/>
      <c r="D693" s="56"/>
      <c r="E693" s="56"/>
      <c r="F693" s="56"/>
      <c r="G693" s="56"/>
      <c r="H693" s="56"/>
      <c r="I693" s="56"/>
      <c r="J693" s="56"/>
    </row>
    <row r="694">
      <c r="A694" s="55"/>
      <c r="B694" s="56"/>
      <c r="C694" s="56"/>
      <c r="D694" s="56"/>
      <c r="E694" s="56"/>
      <c r="F694" s="56"/>
      <c r="G694" s="56"/>
      <c r="H694" s="56"/>
      <c r="I694" s="56"/>
      <c r="J694" s="56"/>
    </row>
    <row r="695">
      <c r="A695" s="55"/>
      <c r="B695" s="56"/>
      <c r="C695" s="56"/>
      <c r="D695" s="56"/>
      <c r="E695" s="56"/>
      <c r="F695" s="56"/>
      <c r="G695" s="56"/>
      <c r="H695" s="56"/>
      <c r="I695" s="56"/>
      <c r="J695" s="56"/>
    </row>
    <row r="696">
      <c r="A696" s="55"/>
      <c r="B696" s="56"/>
      <c r="C696" s="56"/>
      <c r="D696" s="56"/>
      <c r="E696" s="56"/>
      <c r="F696" s="56"/>
      <c r="G696" s="56"/>
      <c r="H696" s="56"/>
      <c r="I696" s="56"/>
      <c r="J696" s="56"/>
    </row>
    <row r="697">
      <c r="A697" s="55"/>
      <c r="B697" s="56"/>
      <c r="C697" s="56"/>
      <c r="D697" s="56"/>
      <c r="E697" s="56"/>
      <c r="F697" s="56"/>
      <c r="G697" s="56"/>
      <c r="H697" s="56"/>
      <c r="I697" s="56"/>
      <c r="J697" s="56"/>
    </row>
    <row r="698">
      <c r="A698" s="55"/>
      <c r="B698" s="56"/>
      <c r="C698" s="56"/>
      <c r="D698" s="56"/>
      <c r="E698" s="56"/>
      <c r="F698" s="56"/>
      <c r="G698" s="56"/>
      <c r="H698" s="56"/>
      <c r="I698" s="56"/>
      <c r="J698" s="56"/>
    </row>
    <row r="699">
      <c r="A699" s="55"/>
      <c r="B699" s="56"/>
      <c r="C699" s="56"/>
      <c r="D699" s="56"/>
      <c r="E699" s="56"/>
      <c r="F699" s="56"/>
      <c r="G699" s="56"/>
      <c r="H699" s="56"/>
      <c r="I699" s="56"/>
      <c r="J699" s="56"/>
    </row>
    <row r="700">
      <c r="A700" s="55"/>
      <c r="B700" s="56"/>
      <c r="C700" s="56"/>
      <c r="D700" s="56"/>
      <c r="E700" s="56"/>
      <c r="F700" s="56"/>
      <c r="G700" s="56"/>
      <c r="H700" s="56"/>
      <c r="I700" s="56"/>
      <c r="J700" s="56"/>
    </row>
    <row r="701">
      <c r="A701" s="55"/>
      <c r="B701" s="56"/>
      <c r="C701" s="56"/>
      <c r="D701" s="56"/>
      <c r="E701" s="56"/>
      <c r="F701" s="56"/>
      <c r="G701" s="56"/>
      <c r="H701" s="56"/>
      <c r="I701" s="56"/>
      <c r="J701" s="56"/>
    </row>
    <row r="702">
      <c r="A702" s="55"/>
      <c r="B702" s="56"/>
      <c r="C702" s="56"/>
      <c r="D702" s="56"/>
      <c r="E702" s="56"/>
      <c r="F702" s="56"/>
      <c r="G702" s="56"/>
      <c r="H702" s="56"/>
      <c r="I702" s="56"/>
      <c r="J702" s="56"/>
    </row>
    <row r="703">
      <c r="A703" s="55"/>
      <c r="B703" s="56"/>
      <c r="C703" s="56"/>
      <c r="D703" s="56"/>
      <c r="E703" s="56"/>
      <c r="F703" s="56"/>
      <c r="G703" s="56"/>
      <c r="H703" s="56"/>
      <c r="I703" s="56"/>
      <c r="J703" s="56"/>
    </row>
    <row r="704">
      <c r="A704" s="55"/>
      <c r="B704" s="56"/>
      <c r="C704" s="56"/>
      <c r="D704" s="56"/>
      <c r="E704" s="56"/>
      <c r="F704" s="56"/>
      <c r="G704" s="56"/>
      <c r="H704" s="56"/>
      <c r="I704" s="56"/>
      <c r="J704" s="56"/>
    </row>
    <row r="705">
      <c r="A705" s="55"/>
      <c r="B705" s="56"/>
      <c r="C705" s="56"/>
      <c r="D705" s="56"/>
      <c r="E705" s="56"/>
      <c r="F705" s="56"/>
      <c r="G705" s="56"/>
      <c r="H705" s="56"/>
      <c r="I705" s="56"/>
      <c r="J705" s="56"/>
    </row>
    <row r="706">
      <c r="A706" s="55"/>
      <c r="B706" s="56"/>
      <c r="C706" s="56"/>
      <c r="D706" s="56"/>
      <c r="E706" s="56"/>
      <c r="F706" s="56"/>
      <c r="G706" s="56"/>
      <c r="H706" s="56"/>
      <c r="I706" s="56"/>
      <c r="J706" s="56"/>
    </row>
    <row r="707">
      <c r="A707" s="55"/>
      <c r="B707" s="56"/>
      <c r="C707" s="56"/>
      <c r="D707" s="56"/>
      <c r="E707" s="56"/>
      <c r="F707" s="56"/>
      <c r="G707" s="56"/>
      <c r="H707" s="56"/>
      <c r="I707" s="56"/>
      <c r="J707" s="56"/>
    </row>
    <row r="708">
      <c r="A708" s="55"/>
      <c r="B708" s="56"/>
      <c r="C708" s="56"/>
      <c r="D708" s="56"/>
      <c r="E708" s="56"/>
      <c r="F708" s="56"/>
      <c r="G708" s="56"/>
      <c r="H708" s="56"/>
      <c r="I708" s="56"/>
      <c r="J708" s="56"/>
    </row>
    <row r="709">
      <c r="A709" s="55"/>
      <c r="B709" s="56"/>
      <c r="C709" s="56"/>
      <c r="D709" s="56"/>
      <c r="E709" s="56"/>
      <c r="F709" s="56"/>
      <c r="G709" s="56"/>
      <c r="H709" s="56"/>
      <c r="I709" s="56"/>
      <c r="J709" s="56"/>
    </row>
    <row r="710">
      <c r="A710" s="55"/>
      <c r="B710" s="56"/>
      <c r="C710" s="56"/>
      <c r="D710" s="56"/>
      <c r="E710" s="56"/>
      <c r="F710" s="56"/>
      <c r="G710" s="56"/>
      <c r="H710" s="56"/>
      <c r="I710" s="56"/>
      <c r="J710" s="56"/>
    </row>
    <row r="711">
      <c r="A711" s="55"/>
      <c r="B711" s="56"/>
      <c r="C711" s="56"/>
      <c r="D711" s="56"/>
      <c r="E711" s="56"/>
      <c r="F711" s="56"/>
      <c r="G711" s="56"/>
      <c r="H711" s="56"/>
      <c r="I711" s="56"/>
      <c r="J711" s="56"/>
    </row>
    <row r="712">
      <c r="A712" s="55"/>
      <c r="B712" s="56"/>
      <c r="C712" s="56"/>
      <c r="D712" s="56"/>
      <c r="E712" s="56"/>
      <c r="F712" s="56"/>
      <c r="G712" s="56"/>
      <c r="H712" s="56"/>
      <c r="I712" s="56"/>
      <c r="J712" s="56"/>
    </row>
    <row r="713">
      <c r="A713" s="55"/>
      <c r="B713" s="56"/>
      <c r="C713" s="56"/>
      <c r="D713" s="56"/>
      <c r="E713" s="56"/>
      <c r="F713" s="56"/>
      <c r="G713" s="56"/>
      <c r="H713" s="56"/>
      <c r="I713" s="56"/>
      <c r="J713" s="56"/>
    </row>
    <row r="714">
      <c r="A714" s="55"/>
      <c r="B714" s="56"/>
      <c r="C714" s="56"/>
      <c r="D714" s="56"/>
      <c r="E714" s="56"/>
      <c r="F714" s="56"/>
      <c r="G714" s="56"/>
      <c r="H714" s="56"/>
      <c r="I714" s="56"/>
      <c r="J714" s="56"/>
    </row>
    <row r="715">
      <c r="A715" s="55"/>
      <c r="B715" s="56"/>
      <c r="C715" s="56"/>
      <c r="D715" s="56"/>
      <c r="E715" s="56"/>
      <c r="F715" s="56"/>
      <c r="G715" s="56"/>
      <c r="H715" s="56"/>
      <c r="I715" s="56"/>
      <c r="J715" s="56"/>
    </row>
    <row r="716">
      <c r="A716" s="55"/>
      <c r="B716" s="56"/>
      <c r="C716" s="56"/>
      <c r="D716" s="56"/>
      <c r="E716" s="56"/>
      <c r="F716" s="56"/>
      <c r="G716" s="56"/>
      <c r="H716" s="56"/>
      <c r="I716" s="56"/>
      <c r="J716" s="56"/>
    </row>
    <row r="717">
      <c r="A717" s="55"/>
      <c r="B717" s="56"/>
      <c r="C717" s="56"/>
      <c r="D717" s="56"/>
      <c r="E717" s="56"/>
      <c r="F717" s="56"/>
      <c r="G717" s="56"/>
      <c r="H717" s="56"/>
      <c r="I717" s="56"/>
      <c r="J717" s="56"/>
    </row>
    <row r="718">
      <c r="A718" s="55"/>
      <c r="B718" s="56"/>
      <c r="C718" s="56"/>
      <c r="D718" s="56"/>
      <c r="E718" s="56"/>
      <c r="F718" s="56"/>
      <c r="G718" s="56"/>
      <c r="H718" s="56"/>
      <c r="I718" s="56"/>
      <c r="J718" s="56"/>
    </row>
    <row r="719">
      <c r="A719" s="55"/>
      <c r="B719" s="56"/>
      <c r="C719" s="56"/>
      <c r="D719" s="56"/>
      <c r="E719" s="56"/>
      <c r="F719" s="56"/>
      <c r="G719" s="56"/>
      <c r="H719" s="56"/>
      <c r="I719" s="56"/>
      <c r="J719" s="56"/>
    </row>
    <row r="720">
      <c r="A720" s="55"/>
      <c r="B720" s="56"/>
      <c r="C720" s="56"/>
      <c r="D720" s="56"/>
      <c r="E720" s="56"/>
      <c r="F720" s="56"/>
      <c r="G720" s="56"/>
      <c r="H720" s="56"/>
      <c r="I720" s="56"/>
      <c r="J720" s="56"/>
    </row>
    <row r="721">
      <c r="A721" s="55"/>
      <c r="B721" s="56"/>
      <c r="C721" s="56"/>
      <c r="D721" s="56"/>
      <c r="E721" s="56"/>
      <c r="F721" s="56"/>
      <c r="G721" s="56"/>
      <c r="H721" s="56"/>
      <c r="I721" s="56"/>
      <c r="J721" s="56"/>
    </row>
    <row r="722">
      <c r="A722" s="55"/>
      <c r="B722" s="56"/>
      <c r="C722" s="56"/>
      <c r="D722" s="56"/>
      <c r="E722" s="56"/>
      <c r="F722" s="56"/>
      <c r="G722" s="56"/>
      <c r="H722" s="56"/>
      <c r="I722" s="56"/>
      <c r="J722" s="56"/>
    </row>
    <row r="723">
      <c r="A723" s="55"/>
      <c r="B723" s="56"/>
      <c r="C723" s="56"/>
      <c r="D723" s="56"/>
      <c r="E723" s="56"/>
      <c r="F723" s="56"/>
      <c r="G723" s="56"/>
      <c r="H723" s="56"/>
      <c r="I723" s="56"/>
      <c r="J723" s="56"/>
    </row>
    <row r="724">
      <c r="A724" s="55"/>
      <c r="B724" s="56"/>
      <c r="C724" s="56"/>
      <c r="D724" s="56"/>
      <c r="E724" s="56"/>
      <c r="F724" s="56"/>
      <c r="G724" s="56"/>
      <c r="H724" s="56"/>
      <c r="I724" s="56"/>
      <c r="J724" s="56"/>
    </row>
    <row r="725">
      <c r="A725" s="55"/>
      <c r="B725" s="56"/>
      <c r="C725" s="56"/>
      <c r="D725" s="56"/>
      <c r="E725" s="56"/>
      <c r="F725" s="56"/>
      <c r="G725" s="56"/>
      <c r="H725" s="56"/>
      <c r="I725" s="56"/>
      <c r="J725" s="56"/>
    </row>
    <row r="726">
      <c r="A726" s="55"/>
      <c r="B726" s="56"/>
      <c r="C726" s="56"/>
      <c r="D726" s="56"/>
      <c r="E726" s="56"/>
      <c r="F726" s="56"/>
      <c r="G726" s="56"/>
      <c r="H726" s="56"/>
      <c r="I726" s="56"/>
      <c r="J726" s="56"/>
    </row>
    <row r="727">
      <c r="A727" s="55"/>
      <c r="B727" s="56"/>
      <c r="C727" s="56"/>
      <c r="D727" s="56"/>
      <c r="E727" s="56"/>
      <c r="F727" s="56"/>
      <c r="G727" s="56"/>
      <c r="H727" s="56"/>
      <c r="I727" s="56"/>
      <c r="J727" s="56"/>
    </row>
    <row r="728">
      <c r="A728" s="55"/>
      <c r="B728" s="56"/>
      <c r="C728" s="56"/>
      <c r="D728" s="56"/>
      <c r="E728" s="56"/>
      <c r="F728" s="56"/>
      <c r="G728" s="56"/>
      <c r="H728" s="56"/>
      <c r="I728" s="56"/>
      <c r="J728" s="56"/>
    </row>
    <row r="729">
      <c r="A729" s="55"/>
      <c r="B729" s="56"/>
      <c r="C729" s="56"/>
      <c r="D729" s="56"/>
      <c r="E729" s="56"/>
      <c r="F729" s="56"/>
      <c r="G729" s="56"/>
      <c r="H729" s="56"/>
      <c r="I729" s="56"/>
      <c r="J729" s="56"/>
    </row>
    <row r="730">
      <c r="A730" s="55"/>
      <c r="B730" s="56"/>
      <c r="C730" s="56"/>
      <c r="D730" s="56"/>
      <c r="E730" s="56"/>
      <c r="F730" s="56"/>
      <c r="G730" s="56"/>
      <c r="H730" s="56"/>
      <c r="I730" s="56"/>
      <c r="J730" s="56"/>
    </row>
    <row r="731">
      <c r="A731" s="55"/>
      <c r="B731" s="56"/>
      <c r="C731" s="56"/>
      <c r="D731" s="56"/>
      <c r="E731" s="56"/>
      <c r="F731" s="56"/>
      <c r="G731" s="56"/>
      <c r="H731" s="56"/>
      <c r="I731" s="56"/>
      <c r="J731" s="56"/>
    </row>
    <row r="732">
      <c r="A732" s="55"/>
      <c r="B732" s="56"/>
      <c r="C732" s="56"/>
      <c r="D732" s="56"/>
      <c r="E732" s="56"/>
      <c r="F732" s="56"/>
      <c r="G732" s="56"/>
      <c r="H732" s="56"/>
      <c r="I732" s="56"/>
      <c r="J732" s="56"/>
    </row>
    <row r="733">
      <c r="A733" s="55"/>
      <c r="B733" s="56"/>
      <c r="C733" s="56"/>
      <c r="D733" s="56"/>
      <c r="E733" s="56"/>
      <c r="F733" s="56"/>
      <c r="G733" s="56"/>
      <c r="H733" s="56"/>
      <c r="I733" s="56"/>
      <c r="J733" s="56"/>
    </row>
    <row r="734">
      <c r="A734" s="55"/>
      <c r="B734" s="56"/>
      <c r="C734" s="56"/>
      <c r="D734" s="56"/>
      <c r="E734" s="56"/>
      <c r="F734" s="56"/>
      <c r="G734" s="56"/>
      <c r="H734" s="56"/>
      <c r="I734" s="56"/>
      <c r="J734" s="56"/>
    </row>
    <row r="735">
      <c r="A735" s="55"/>
      <c r="B735" s="56"/>
      <c r="C735" s="56"/>
      <c r="D735" s="56"/>
      <c r="E735" s="56"/>
      <c r="F735" s="56"/>
      <c r="G735" s="56"/>
      <c r="H735" s="56"/>
      <c r="I735" s="56"/>
      <c r="J735" s="56"/>
    </row>
    <row r="736">
      <c r="A736" s="55"/>
      <c r="B736" s="56"/>
      <c r="C736" s="56"/>
      <c r="D736" s="56"/>
      <c r="E736" s="56"/>
      <c r="F736" s="56"/>
      <c r="G736" s="56"/>
      <c r="H736" s="56"/>
      <c r="I736" s="56"/>
      <c r="J736" s="56"/>
    </row>
    <row r="737">
      <c r="A737" s="55"/>
      <c r="B737" s="56"/>
      <c r="C737" s="56"/>
      <c r="D737" s="56"/>
      <c r="E737" s="56"/>
      <c r="F737" s="56"/>
      <c r="G737" s="56"/>
      <c r="H737" s="56"/>
      <c r="I737" s="56"/>
      <c r="J737" s="56"/>
    </row>
    <row r="738">
      <c r="A738" s="55"/>
      <c r="B738" s="56"/>
      <c r="C738" s="56"/>
      <c r="D738" s="56"/>
      <c r="E738" s="56"/>
      <c r="F738" s="56"/>
      <c r="G738" s="56"/>
      <c r="H738" s="56"/>
      <c r="I738" s="56"/>
      <c r="J738" s="56"/>
    </row>
    <row r="739">
      <c r="A739" s="55"/>
      <c r="B739" s="56"/>
      <c r="C739" s="56"/>
      <c r="D739" s="56"/>
      <c r="E739" s="56"/>
      <c r="F739" s="56"/>
      <c r="G739" s="56"/>
      <c r="H739" s="56"/>
      <c r="I739" s="56"/>
      <c r="J739" s="56"/>
    </row>
    <row r="740">
      <c r="A740" s="55"/>
      <c r="B740" s="56"/>
      <c r="C740" s="56"/>
      <c r="D740" s="56"/>
      <c r="E740" s="56"/>
      <c r="F740" s="56"/>
      <c r="G740" s="56"/>
      <c r="H740" s="56"/>
      <c r="I740" s="56"/>
      <c r="J740" s="56"/>
    </row>
    <row r="741">
      <c r="A741" s="55"/>
      <c r="B741" s="56"/>
      <c r="C741" s="56"/>
      <c r="D741" s="56"/>
      <c r="E741" s="56"/>
      <c r="F741" s="56"/>
      <c r="G741" s="56"/>
      <c r="H741" s="56"/>
      <c r="I741" s="56"/>
      <c r="J741" s="56"/>
    </row>
    <row r="742">
      <c r="A742" s="55"/>
      <c r="B742" s="56"/>
      <c r="C742" s="56"/>
      <c r="D742" s="56"/>
      <c r="E742" s="56"/>
      <c r="F742" s="56"/>
      <c r="G742" s="56"/>
      <c r="H742" s="56"/>
      <c r="I742" s="56"/>
      <c r="J742" s="56"/>
    </row>
    <row r="743">
      <c r="A743" s="55"/>
      <c r="B743" s="56"/>
      <c r="C743" s="56"/>
      <c r="D743" s="56"/>
      <c r="E743" s="56"/>
      <c r="F743" s="56"/>
      <c r="G743" s="56"/>
      <c r="H743" s="56"/>
      <c r="I743" s="56"/>
      <c r="J743" s="56"/>
    </row>
    <row r="744">
      <c r="A744" s="55"/>
      <c r="B744" s="56"/>
      <c r="C744" s="56"/>
      <c r="D744" s="56"/>
      <c r="E744" s="56"/>
      <c r="F744" s="56"/>
      <c r="G744" s="56"/>
      <c r="H744" s="56"/>
      <c r="I744" s="56"/>
      <c r="J744" s="56"/>
    </row>
    <row r="745">
      <c r="A745" s="55"/>
      <c r="B745" s="56"/>
      <c r="C745" s="56"/>
      <c r="D745" s="56"/>
      <c r="E745" s="56"/>
      <c r="F745" s="56"/>
      <c r="G745" s="56"/>
      <c r="H745" s="56"/>
      <c r="I745" s="56"/>
      <c r="J745" s="56"/>
    </row>
    <row r="746">
      <c r="A746" s="55"/>
      <c r="B746" s="56"/>
      <c r="C746" s="56"/>
      <c r="D746" s="56"/>
      <c r="E746" s="56"/>
      <c r="F746" s="56"/>
      <c r="G746" s="56"/>
      <c r="H746" s="56"/>
      <c r="I746" s="56"/>
      <c r="J746" s="56"/>
    </row>
    <row r="747">
      <c r="A747" s="55"/>
      <c r="B747" s="56"/>
      <c r="C747" s="56"/>
      <c r="D747" s="56"/>
      <c r="E747" s="56"/>
      <c r="F747" s="56"/>
      <c r="G747" s="56"/>
      <c r="H747" s="56"/>
      <c r="I747" s="56"/>
      <c r="J747" s="56"/>
    </row>
    <row r="748">
      <c r="A748" s="55"/>
      <c r="B748" s="56"/>
      <c r="C748" s="56"/>
      <c r="D748" s="56"/>
      <c r="E748" s="56"/>
      <c r="F748" s="56"/>
      <c r="G748" s="56"/>
      <c r="H748" s="56"/>
      <c r="I748" s="56"/>
      <c r="J748" s="56"/>
    </row>
    <row r="749">
      <c r="A749" s="55"/>
      <c r="B749" s="56"/>
      <c r="C749" s="56"/>
      <c r="D749" s="56"/>
      <c r="E749" s="56"/>
      <c r="F749" s="56"/>
      <c r="G749" s="56"/>
      <c r="H749" s="56"/>
      <c r="I749" s="56"/>
      <c r="J749" s="56"/>
    </row>
    <row r="750">
      <c r="A750" s="55"/>
      <c r="B750" s="56"/>
      <c r="C750" s="56"/>
      <c r="D750" s="56"/>
      <c r="E750" s="56"/>
      <c r="F750" s="56"/>
      <c r="G750" s="56"/>
      <c r="H750" s="56"/>
      <c r="I750" s="56"/>
      <c r="J750" s="56"/>
    </row>
    <row r="751">
      <c r="A751" s="55"/>
      <c r="B751" s="56"/>
      <c r="C751" s="56"/>
      <c r="D751" s="56"/>
      <c r="E751" s="56"/>
      <c r="F751" s="56"/>
      <c r="G751" s="56"/>
      <c r="H751" s="56"/>
      <c r="I751" s="56"/>
      <c r="J751" s="56"/>
    </row>
    <row r="752">
      <c r="A752" s="55"/>
      <c r="B752" s="56"/>
      <c r="C752" s="56"/>
      <c r="D752" s="56"/>
      <c r="E752" s="56"/>
      <c r="F752" s="56"/>
      <c r="G752" s="56"/>
      <c r="H752" s="56"/>
      <c r="I752" s="56"/>
      <c r="J752" s="56"/>
    </row>
    <row r="753">
      <c r="A753" s="55"/>
      <c r="B753" s="56"/>
      <c r="C753" s="56"/>
      <c r="D753" s="56"/>
      <c r="E753" s="56"/>
      <c r="F753" s="56"/>
      <c r="G753" s="56"/>
      <c r="H753" s="56"/>
      <c r="I753" s="56"/>
      <c r="J753" s="56"/>
    </row>
    <row r="754">
      <c r="A754" s="55"/>
      <c r="B754" s="56"/>
      <c r="C754" s="56"/>
      <c r="D754" s="56"/>
      <c r="E754" s="56"/>
      <c r="F754" s="56"/>
      <c r="G754" s="56"/>
      <c r="H754" s="56"/>
      <c r="I754" s="56"/>
      <c r="J754" s="56"/>
    </row>
    <row r="755">
      <c r="A755" s="55"/>
      <c r="B755" s="56"/>
      <c r="C755" s="56"/>
      <c r="D755" s="56"/>
      <c r="E755" s="56"/>
      <c r="F755" s="56"/>
      <c r="G755" s="56"/>
      <c r="H755" s="56"/>
      <c r="I755" s="56"/>
      <c r="J755" s="56"/>
    </row>
    <row r="756">
      <c r="A756" s="55"/>
      <c r="B756" s="56"/>
      <c r="C756" s="56"/>
      <c r="D756" s="56"/>
      <c r="E756" s="56"/>
      <c r="F756" s="56"/>
      <c r="G756" s="56"/>
      <c r="H756" s="56"/>
      <c r="I756" s="56"/>
      <c r="J756" s="56"/>
    </row>
    <row r="757">
      <c r="A757" s="55"/>
      <c r="B757" s="56"/>
      <c r="C757" s="56"/>
      <c r="D757" s="56"/>
      <c r="E757" s="56"/>
      <c r="F757" s="56"/>
      <c r="G757" s="56"/>
      <c r="H757" s="56"/>
      <c r="I757" s="56"/>
      <c r="J757" s="56"/>
    </row>
    <row r="758">
      <c r="A758" s="55"/>
      <c r="B758" s="56"/>
      <c r="C758" s="56"/>
      <c r="D758" s="56"/>
      <c r="E758" s="56"/>
      <c r="F758" s="56"/>
      <c r="G758" s="56"/>
      <c r="H758" s="56"/>
      <c r="I758" s="56"/>
      <c r="J758" s="56"/>
    </row>
    <row r="759">
      <c r="A759" s="55"/>
      <c r="B759" s="56"/>
      <c r="C759" s="56"/>
      <c r="D759" s="56"/>
      <c r="E759" s="56"/>
      <c r="F759" s="56"/>
      <c r="G759" s="56"/>
      <c r="H759" s="56"/>
      <c r="I759" s="56"/>
      <c r="J759" s="56"/>
    </row>
    <row r="760">
      <c r="A760" s="55"/>
      <c r="B760" s="56"/>
      <c r="C760" s="56"/>
      <c r="D760" s="56"/>
      <c r="E760" s="56"/>
      <c r="F760" s="56"/>
      <c r="G760" s="56"/>
      <c r="H760" s="56"/>
      <c r="I760" s="56"/>
      <c r="J760" s="56"/>
    </row>
    <row r="761">
      <c r="A761" s="55"/>
      <c r="B761" s="56"/>
      <c r="C761" s="56"/>
      <c r="D761" s="56"/>
      <c r="E761" s="56"/>
      <c r="F761" s="56"/>
      <c r="G761" s="56"/>
      <c r="H761" s="56"/>
      <c r="I761" s="56"/>
      <c r="J761" s="56"/>
    </row>
    <row r="762">
      <c r="A762" s="55"/>
      <c r="B762" s="56"/>
      <c r="C762" s="56"/>
      <c r="D762" s="56"/>
      <c r="E762" s="56"/>
      <c r="F762" s="56"/>
      <c r="G762" s="56"/>
      <c r="H762" s="56"/>
      <c r="I762" s="56"/>
      <c r="J762" s="56"/>
    </row>
    <row r="763">
      <c r="A763" s="55"/>
      <c r="B763" s="56"/>
      <c r="C763" s="56"/>
      <c r="D763" s="56"/>
      <c r="E763" s="56"/>
      <c r="F763" s="56"/>
      <c r="G763" s="56"/>
      <c r="H763" s="56"/>
      <c r="I763" s="56"/>
      <c r="J763" s="56"/>
    </row>
    <row r="764">
      <c r="A764" s="55"/>
      <c r="B764" s="56"/>
      <c r="C764" s="56"/>
      <c r="D764" s="56"/>
      <c r="E764" s="56"/>
      <c r="F764" s="56"/>
      <c r="G764" s="56"/>
      <c r="H764" s="56"/>
      <c r="I764" s="56"/>
      <c r="J764" s="56"/>
    </row>
    <row r="765">
      <c r="A765" s="55"/>
      <c r="B765" s="56"/>
      <c r="C765" s="56"/>
      <c r="D765" s="56"/>
      <c r="E765" s="56"/>
      <c r="F765" s="56"/>
      <c r="G765" s="56"/>
      <c r="H765" s="56"/>
      <c r="I765" s="56"/>
      <c r="J765" s="56"/>
    </row>
    <row r="766">
      <c r="A766" s="55"/>
      <c r="B766" s="56"/>
      <c r="C766" s="56"/>
      <c r="D766" s="56"/>
      <c r="E766" s="56"/>
      <c r="F766" s="56"/>
      <c r="G766" s="56"/>
      <c r="H766" s="56"/>
      <c r="I766" s="56"/>
      <c r="J766" s="56"/>
    </row>
    <row r="767">
      <c r="A767" s="55"/>
      <c r="B767" s="56"/>
      <c r="C767" s="56"/>
      <c r="D767" s="56"/>
      <c r="E767" s="56"/>
      <c r="F767" s="56"/>
      <c r="G767" s="56"/>
      <c r="H767" s="56"/>
      <c r="I767" s="56"/>
      <c r="J767" s="56"/>
    </row>
    <row r="768">
      <c r="A768" s="55"/>
      <c r="B768" s="56"/>
      <c r="C768" s="56"/>
      <c r="D768" s="56"/>
      <c r="E768" s="56"/>
      <c r="F768" s="56"/>
      <c r="G768" s="56"/>
      <c r="H768" s="56"/>
      <c r="I768" s="56"/>
      <c r="J768" s="56"/>
    </row>
    <row r="769">
      <c r="A769" s="55"/>
      <c r="B769" s="56"/>
      <c r="C769" s="56"/>
      <c r="D769" s="56"/>
      <c r="E769" s="56"/>
      <c r="F769" s="56"/>
      <c r="G769" s="56"/>
      <c r="H769" s="56"/>
      <c r="I769" s="56"/>
      <c r="J769" s="56"/>
    </row>
    <row r="770">
      <c r="A770" s="55"/>
      <c r="B770" s="56"/>
      <c r="C770" s="56"/>
      <c r="D770" s="56"/>
      <c r="E770" s="56"/>
      <c r="F770" s="56"/>
      <c r="G770" s="56"/>
      <c r="H770" s="56"/>
      <c r="I770" s="56"/>
      <c r="J770" s="56"/>
    </row>
    <row r="771">
      <c r="A771" s="55"/>
      <c r="B771" s="56"/>
      <c r="C771" s="56"/>
      <c r="D771" s="56"/>
      <c r="E771" s="56"/>
      <c r="F771" s="56"/>
      <c r="G771" s="56"/>
      <c r="H771" s="56"/>
      <c r="I771" s="56"/>
      <c r="J771" s="56"/>
    </row>
    <row r="772">
      <c r="A772" s="55"/>
      <c r="B772" s="56"/>
      <c r="C772" s="56"/>
      <c r="D772" s="56"/>
      <c r="E772" s="56"/>
      <c r="F772" s="56"/>
      <c r="G772" s="56"/>
      <c r="H772" s="56"/>
      <c r="I772" s="56"/>
      <c r="J772" s="56"/>
    </row>
    <row r="773">
      <c r="A773" s="55"/>
      <c r="B773" s="56"/>
      <c r="C773" s="56"/>
      <c r="D773" s="56"/>
      <c r="E773" s="56"/>
      <c r="F773" s="56"/>
      <c r="G773" s="56"/>
      <c r="H773" s="56"/>
      <c r="I773" s="56"/>
      <c r="J773" s="56"/>
    </row>
    <row r="774">
      <c r="A774" s="55"/>
      <c r="B774" s="56"/>
      <c r="C774" s="56"/>
      <c r="D774" s="56"/>
      <c r="E774" s="56"/>
      <c r="F774" s="56"/>
      <c r="G774" s="56"/>
      <c r="H774" s="56"/>
      <c r="I774" s="56"/>
      <c r="J774" s="56"/>
    </row>
    <row r="775">
      <c r="A775" s="55"/>
      <c r="B775" s="56"/>
      <c r="C775" s="56"/>
      <c r="D775" s="56"/>
      <c r="E775" s="56"/>
      <c r="F775" s="56"/>
      <c r="G775" s="56"/>
      <c r="H775" s="56"/>
      <c r="I775" s="56"/>
      <c r="J775" s="56"/>
    </row>
    <row r="776">
      <c r="A776" s="55"/>
      <c r="B776" s="56"/>
      <c r="C776" s="56"/>
      <c r="D776" s="56"/>
      <c r="E776" s="56"/>
      <c r="F776" s="56"/>
      <c r="G776" s="56"/>
      <c r="H776" s="56"/>
      <c r="I776" s="56"/>
      <c r="J776" s="56"/>
    </row>
    <row r="777">
      <c r="A777" s="55"/>
      <c r="B777" s="56"/>
      <c r="C777" s="56"/>
      <c r="D777" s="56"/>
      <c r="E777" s="56"/>
      <c r="F777" s="56"/>
      <c r="G777" s="56"/>
      <c r="H777" s="56"/>
      <c r="I777" s="56"/>
      <c r="J777" s="56"/>
    </row>
    <row r="778">
      <c r="A778" s="55"/>
      <c r="B778" s="56"/>
      <c r="C778" s="56"/>
      <c r="D778" s="56"/>
      <c r="E778" s="56"/>
      <c r="F778" s="56"/>
      <c r="G778" s="56"/>
      <c r="H778" s="56"/>
      <c r="I778" s="56"/>
      <c r="J778" s="56"/>
    </row>
    <row r="779">
      <c r="A779" s="55"/>
      <c r="B779" s="56"/>
      <c r="C779" s="56"/>
      <c r="D779" s="56"/>
      <c r="E779" s="56"/>
      <c r="F779" s="56"/>
      <c r="G779" s="56"/>
      <c r="H779" s="56"/>
      <c r="I779" s="56"/>
      <c r="J779" s="56"/>
    </row>
    <row r="780">
      <c r="A780" s="55"/>
      <c r="B780" s="56"/>
      <c r="C780" s="56"/>
      <c r="D780" s="56"/>
      <c r="E780" s="56"/>
      <c r="F780" s="56"/>
      <c r="G780" s="56"/>
      <c r="H780" s="56"/>
      <c r="I780" s="56"/>
      <c r="J780" s="56"/>
    </row>
    <row r="781">
      <c r="A781" s="55"/>
      <c r="B781" s="56"/>
      <c r="C781" s="56"/>
      <c r="D781" s="56"/>
      <c r="E781" s="56"/>
      <c r="F781" s="56"/>
      <c r="G781" s="56"/>
      <c r="H781" s="56"/>
      <c r="I781" s="56"/>
      <c r="J781" s="56"/>
    </row>
    <row r="782">
      <c r="A782" s="55"/>
      <c r="B782" s="56"/>
      <c r="C782" s="56"/>
      <c r="D782" s="56"/>
      <c r="E782" s="56"/>
      <c r="F782" s="56"/>
      <c r="G782" s="56"/>
      <c r="H782" s="56"/>
      <c r="I782" s="56"/>
      <c r="J782" s="56"/>
    </row>
    <row r="783">
      <c r="A783" s="55"/>
      <c r="B783" s="56"/>
      <c r="C783" s="56"/>
      <c r="D783" s="56"/>
      <c r="E783" s="56"/>
      <c r="F783" s="56"/>
      <c r="G783" s="56"/>
      <c r="H783" s="56"/>
      <c r="I783" s="56"/>
      <c r="J783" s="56"/>
    </row>
    <row r="784">
      <c r="A784" s="55"/>
      <c r="B784" s="56"/>
      <c r="C784" s="56"/>
      <c r="D784" s="56"/>
      <c r="E784" s="56"/>
      <c r="F784" s="56"/>
      <c r="G784" s="56"/>
      <c r="H784" s="56"/>
      <c r="I784" s="56"/>
      <c r="J784" s="56"/>
    </row>
    <row r="785">
      <c r="A785" s="55"/>
      <c r="B785" s="56"/>
      <c r="C785" s="56"/>
      <c r="D785" s="56"/>
      <c r="E785" s="56"/>
      <c r="F785" s="56"/>
      <c r="G785" s="56"/>
      <c r="H785" s="56"/>
      <c r="I785" s="56"/>
      <c r="J785" s="56"/>
    </row>
    <row r="786">
      <c r="A786" s="55"/>
      <c r="B786" s="56"/>
      <c r="C786" s="56"/>
      <c r="D786" s="56"/>
      <c r="E786" s="56"/>
      <c r="F786" s="56"/>
      <c r="G786" s="56"/>
      <c r="H786" s="56"/>
      <c r="I786" s="56"/>
      <c r="J786" s="56"/>
    </row>
    <row r="787">
      <c r="A787" s="55"/>
      <c r="B787" s="56"/>
      <c r="C787" s="56"/>
      <c r="D787" s="56"/>
      <c r="E787" s="56"/>
      <c r="F787" s="56"/>
      <c r="G787" s="56"/>
      <c r="H787" s="56"/>
      <c r="I787" s="56"/>
      <c r="J787" s="56"/>
    </row>
    <row r="788">
      <c r="A788" s="55"/>
      <c r="B788" s="56"/>
      <c r="C788" s="56"/>
      <c r="D788" s="56"/>
      <c r="E788" s="56"/>
      <c r="F788" s="56"/>
      <c r="G788" s="56"/>
      <c r="H788" s="56"/>
      <c r="I788" s="56"/>
      <c r="J788" s="56"/>
    </row>
    <row r="789">
      <c r="A789" s="55"/>
      <c r="B789" s="56"/>
      <c r="C789" s="56"/>
      <c r="D789" s="56"/>
      <c r="E789" s="56"/>
      <c r="F789" s="56"/>
      <c r="G789" s="56"/>
      <c r="H789" s="56"/>
      <c r="I789" s="56"/>
      <c r="J789" s="56"/>
    </row>
    <row r="790">
      <c r="A790" s="55"/>
      <c r="B790" s="56"/>
      <c r="C790" s="56"/>
      <c r="D790" s="56"/>
      <c r="E790" s="56"/>
      <c r="F790" s="56"/>
      <c r="G790" s="56"/>
      <c r="H790" s="56"/>
      <c r="I790" s="56"/>
      <c r="J790" s="56"/>
    </row>
    <row r="791">
      <c r="A791" s="55"/>
      <c r="B791" s="56"/>
      <c r="C791" s="56"/>
      <c r="D791" s="56"/>
      <c r="E791" s="56"/>
      <c r="F791" s="56"/>
      <c r="G791" s="56"/>
      <c r="H791" s="56"/>
      <c r="I791" s="56"/>
      <c r="J791" s="56"/>
    </row>
    <row r="792">
      <c r="A792" s="55"/>
      <c r="B792" s="56"/>
      <c r="C792" s="56"/>
      <c r="D792" s="56"/>
      <c r="E792" s="56"/>
      <c r="F792" s="56"/>
      <c r="G792" s="56"/>
      <c r="H792" s="56"/>
      <c r="I792" s="56"/>
      <c r="J792" s="56"/>
    </row>
    <row r="793">
      <c r="A793" s="55"/>
      <c r="B793" s="56"/>
      <c r="C793" s="56"/>
      <c r="D793" s="56"/>
      <c r="E793" s="56"/>
      <c r="F793" s="56"/>
      <c r="G793" s="56"/>
      <c r="H793" s="56"/>
      <c r="I793" s="56"/>
      <c r="J793" s="56"/>
    </row>
    <row r="794">
      <c r="A794" s="55"/>
      <c r="B794" s="56"/>
      <c r="C794" s="56"/>
      <c r="D794" s="56"/>
      <c r="E794" s="56"/>
      <c r="F794" s="56"/>
      <c r="G794" s="56"/>
      <c r="H794" s="56"/>
      <c r="I794" s="56"/>
      <c r="J794" s="56"/>
    </row>
    <row r="795">
      <c r="A795" s="55"/>
      <c r="B795" s="56"/>
      <c r="C795" s="56"/>
      <c r="D795" s="56"/>
      <c r="E795" s="56"/>
      <c r="F795" s="56"/>
      <c r="G795" s="56"/>
      <c r="H795" s="56"/>
      <c r="I795" s="56"/>
      <c r="J795" s="56"/>
    </row>
    <row r="796">
      <c r="A796" s="55"/>
      <c r="B796" s="56"/>
      <c r="C796" s="56"/>
      <c r="D796" s="56"/>
      <c r="E796" s="56"/>
      <c r="F796" s="56"/>
      <c r="G796" s="56"/>
      <c r="H796" s="56"/>
      <c r="I796" s="56"/>
      <c r="J796" s="56"/>
    </row>
    <row r="797">
      <c r="A797" s="55"/>
      <c r="B797" s="56"/>
      <c r="C797" s="56"/>
      <c r="D797" s="56"/>
      <c r="E797" s="56"/>
      <c r="F797" s="56"/>
      <c r="G797" s="56"/>
      <c r="H797" s="56"/>
      <c r="I797" s="56"/>
      <c r="J797" s="56"/>
    </row>
    <row r="798">
      <c r="A798" s="55"/>
      <c r="B798" s="56"/>
      <c r="C798" s="56"/>
      <c r="D798" s="56"/>
      <c r="E798" s="56"/>
      <c r="F798" s="56"/>
      <c r="G798" s="56"/>
      <c r="H798" s="56"/>
      <c r="I798" s="56"/>
      <c r="J798" s="56"/>
    </row>
    <row r="799">
      <c r="A799" s="55"/>
      <c r="B799" s="56"/>
      <c r="C799" s="56"/>
      <c r="D799" s="56"/>
      <c r="E799" s="56"/>
      <c r="F799" s="56"/>
      <c r="G799" s="56"/>
      <c r="H799" s="56"/>
      <c r="I799" s="56"/>
      <c r="J799" s="56"/>
    </row>
    <row r="800">
      <c r="A800" s="55"/>
      <c r="B800" s="56"/>
      <c r="C800" s="56"/>
      <c r="D800" s="56"/>
      <c r="E800" s="56"/>
      <c r="F800" s="56"/>
      <c r="G800" s="56"/>
      <c r="H800" s="56"/>
      <c r="I800" s="56"/>
      <c r="J800" s="56"/>
    </row>
    <row r="801">
      <c r="A801" s="55"/>
      <c r="B801" s="56"/>
      <c r="C801" s="56"/>
      <c r="D801" s="56"/>
      <c r="E801" s="56"/>
      <c r="F801" s="56"/>
      <c r="G801" s="56"/>
      <c r="H801" s="56"/>
      <c r="I801" s="56"/>
      <c r="J801" s="56"/>
    </row>
    <row r="802">
      <c r="A802" s="55"/>
      <c r="B802" s="56"/>
      <c r="C802" s="56"/>
      <c r="D802" s="56"/>
      <c r="E802" s="56"/>
      <c r="F802" s="56"/>
      <c r="G802" s="56"/>
      <c r="H802" s="56"/>
      <c r="I802" s="56"/>
      <c r="J802" s="56"/>
    </row>
    <row r="803">
      <c r="A803" s="55"/>
      <c r="B803" s="56"/>
      <c r="C803" s="56"/>
      <c r="D803" s="56"/>
      <c r="E803" s="56"/>
      <c r="F803" s="56"/>
      <c r="G803" s="56"/>
      <c r="H803" s="56"/>
      <c r="I803" s="56"/>
      <c r="J803" s="56"/>
    </row>
    <row r="804">
      <c r="A804" s="55"/>
      <c r="B804" s="56"/>
      <c r="C804" s="56"/>
      <c r="D804" s="56"/>
      <c r="E804" s="56"/>
      <c r="F804" s="56"/>
      <c r="G804" s="56"/>
      <c r="H804" s="56"/>
      <c r="I804" s="56"/>
      <c r="J804" s="56"/>
    </row>
    <row r="805">
      <c r="A805" s="55"/>
      <c r="B805" s="56"/>
      <c r="C805" s="56"/>
      <c r="D805" s="56"/>
      <c r="E805" s="56"/>
      <c r="F805" s="56"/>
      <c r="G805" s="56"/>
      <c r="H805" s="56"/>
      <c r="I805" s="56"/>
      <c r="J805" s="56"/>
    </row>
    <row r="806">
      <c r="A806" s="55"/>
      <c r="B806" s="56"/>
      <c r="C806" s="56"/>
      <c r="D806" s="56"/>
      <c r="E806" s="56"/>
      <c r="F806" s="56"/>
      <c r="G806" s="56"/>
      <c r="H806" s="56"/>
      <c r="I806" s="56"/>
      <c r="J806" s="56"/>
    </row>
    <row r="807">
      <c r="A807" s="55"/>
      <c r="B807" s="56"/>
      <c r="C807" s="56"/>
      <c r="D807" s="56"/>
      <c r="E807" s="56"/>
      <c r="F807" s="56"/>
      <c r="G807" s="56"/>
      <c r="H807" s="56"/>
      <c r="I807" s="56"/>
      <c r="J807" s="56"/>
    </row>
    <row r="808">
      <c r="A808" s="55"/>
      <c r="B808" s="56"/>
      <c r="C808" s="56"/>
      <c r="D808" s="56"/>
      <c r="E808" s="56"/>
      <c r="F808" s="56"/>
      <c r="G808" s="56"/>
      <c r="H808" s="56"/>
      <c r="I808" s="56"/>
      <c r="J808" s="56"/>
    </row>
    <row r="809">
      <c r="A809" s="55"/>
      <c r="B809" s="56"/>
      <c r="C809" s="56"/>
      <c r="D809" s="56"/>
      <c r="E809" s="56"/>
      <c r="F809" s="56"/>
      <c r="G809" s="56"/>
      <c r="H809" s="56"/>
      <c r="I809" s="56"/>
      <c r="J809" s="56"/>
    </row>
    <row r="810">
      <c r="A810" s="55"/>
      <c r="B810" s="56"/>
      <c r="C810" s="56"/>
      <c r="D810" s="56"/>
      <c r="E810" s="56"/>
      <c r="F810" s="56"/>
      <c r="G810" s="56"/>
      <c r="H810" s="56"/>
      <c r="I810" s="56"/>
      <c r="J810" s="56"/>
    </row>
    <row r="811">
      <c r="A811" s="55"/>
      <c r="B811" s="56"/>
      <c r="C811" s="56"/>
      <c r="D811" s="56"/>
      <c r="E811" s="56"/>
      <c r="F811" s="56"/>
      <c r="G811" s="56"/>
      <c r="H811" s="56"/>
      <c r="I811" s="56"/>
      <c r="J811" s="56"/>
    </row>
    <row r="812">
      <c r="A812" s="55"/>
      <c r="B812" s="56"/>
      <c r="C812" s="56"/>
      <c r="D812" s="56"/>
      <c r="E812" s="56"/>
      <c r="F812" s="56"/>
      <c r="G812" s="56"/>
      <c r="H812" s="56"/>
      <c r="I812" s="56"/>
      <c r="J812" s="56"/>
    </row>
    <row r="813">
      <c r="A813" s="55"/>
      <c r="B813" s="56"/>
      <c r="C813" s="56"/>
      <c r="D813" s="56"/>
      <c r="E813" s="56"/>
      <c r="F813" s="56"/>
      <c r="G813" s="56"/>
      <c r="H813" s="56"/>
      <c r="I813" s="56"/>
      <c r="J813" s="56"/>
    </row>
    <row r="814">
      <c r="A814" s="55"/>
      <c r="B814" s="56"/>
      <c r="C814" s="56"/>
      <c r="D814" s="56"/>
      <c r="E814" s="56"/>
      <c r="F814" s="56"/>
      <c r="G814" s="56"/>
      <c r="H814" s="56"/>
      <c r="I814" s="56"/>
      <c r="J814" s="56"/>
    </row>
    <row r="815">
      <c r="A815" s="55"/>
      <c r="B815" s="56"/>
      <c r="C815" s="56"/>
      <c r="D815" s="56"/>
      <c r="E815" s="56"/>
      <c r="F815" s="56"/>
      <c r="G815" s="56"/>
      <c r="H815" s="56"/>
      <c r="I815" s="56"/>
      <c r="J815" s="56"/>
    </row>
    <row r="816">
      <c r="A816" s="55"/>
      <c r="B816" s="56"/>
      <c r="C816" s="56"/>
      <c r="D816" s="56"/>
      <c r="E816" s="56"/>
      <c r="F816" s="56"/>
      <c r="G816" s="56"/>
      <c r="H816" s="56"/>
      <c r="I816" s="56"/>
      <c r="J816" s="56"/>
    </row>
    <row r="817">
      <c r="A817" s="55"/>
      <c r="B817" s="56"/>
      <c r="C817" s="56"/>
      <c r="D817" s="56"/>
      <c r="E817" s="56"/>
      <c r="F817" s="56"/>
      <c r="G817" s="56"/>
      <c r="H817" s="56"/>
      <c r="I817" s="56"/>
      <c r="J817" s="56"/>
    </row>
    <row r="818">
      <c r="A818" s="55"/>
      <c r="B818" s="56"/>
      <c r="C818" s="56"/>
      <c r="D818" s="56"/>
      <c r="E818" s="56"/>
      <c r="F818" s="56"/>
      <c r="G818" s="56"/>
      <c r="H818" s="56"/>
      <c r="I818" s="56"/>
      <c r="J818" s="56"/>
    </row>
    <row r="819">
      <c r="A819" s="55"/>
      <c r="B819" s="56"/>
      <c r="C819" s="56"/>
      <c r="D819" s="56"/>
      <c r="E819" s="56"/>
      <c r="F819" s="56"/>
      <c r="G819" s="56"/>
      <c r="H819" s="56"/>
      <c r="I819" s="56"/>
      <c r="J819" s="56"/>
    </row>
    <row r="820">
      <c r="A820" s="55"/>
      <c r="B820" s="56"/>
      <c r="C820" s="56"/>
      <c r="D820" s="56"/>
      <c r="E820" s="56"/>
      <c r="F820" s="56"/>
      <c r="G820" s="56"/>
      <c r="H820" s="56"/>
      <c r="I820" s="56"/>
      <c r="J820" s="56"/>
    </row>
    <row r="821">
      <c r="A821" s="55"/>
      <c r="B821" s="56"/>
      <c r="C821" s="56"/>
      <c r="D821" s="56"/>
      <c r="E821" s="56"/>
      <c r="F821" s="56"/>
      <c r="G821" s="56"/>
      <c r="H821" s="56"/>
      <c r="I821" s="56"/>
      <c r="J821" s="56"/>
    </row>
    <row r="822">
      <c r="A822" s="55"/>
      <c r="B822" s="56"/>
      <c r="C822" s="56"/>
      <c r="D822" s="56"/>
      <c r="E822" s="56"/>
      <c r="F822" s="56"/>
      <c r="G822" s="56"/>
      <c r="H822" s="56"/>
      <c r="I822" s="56"/>
      <c r="J822" s="56"/>
    </row>
    <row r="823">
      <c r="A823" s="55"/>
      <c r="B823" s="56"/>
      <c r="C823" s="56"/>
      <c r="D823" s="56"/>
      <c r="E823" s="56"/>
      <c r="F823" s="56"/>
      <c r="G823" s="56"/>
      <c r="H823" s="56"/>
      <c r="I823" s="56"/>
      <c r="J823" s="56"/>
    </row>
    <row r="824">
      <c r="A824" s="55"/>
      <c r="B824" s="56"/>
      <c r="C824" s="56"/>
      <c r="D824" s="56"/>
      <c r="E824" s="56"/>
      <c r="F824" s="56"/>
      <c r="G824" s="56"/>
      <c r="H824" s="56"/>
      <c r="I824" s="56"/>
      <c r="J824" s="56"/>
    </row>
    <row r="825">
      <c r="A825" s="55"/>
      <c r="B825" s="56"/>
      <c r="C825" s="56"/>
      <c r="D825" s="56"/>
      <c r="E825" s="56"/>
      <c r="F825" s="56"/>
      <c r="G825" s="56"/>
      <c r="H825" s="56"/>
      <c r="I825" s="56"/>
      <c r="J825" s="56"/>
    </row>
    <row r="826">
      <c r="A826" s="55"/>
      <c r="B826" s="56"/>
      <c r="C826" s="56"/>
      <c r="D826" s="56"/>
      <c r="E826" s="56"/>
      <c r="F826" s="56"/>
      <c r="G826" s="56"/>
      <c r="H826" s="56"/>
      <c r="I826" s="56"/>
      <c r="J826" s="56"/>
    </row>
    <row r="827">
      <c r="A827" s="55"/>
      <c r="B827" s="56"/>
      <c r="C827" s="56"/>
      <c r="D827" s="56"/>
      <c r="E827" s="56"/>
      <c r="F827" s="56"/>
      <c r="G827" s="56"/>
      <c r="H827" s="56"/>
      <c r="I827" s="56"/>
      <c r="J827" s="56"/>
    </row>
    <row r="828">
      <c r="A828" s="55"/>
      <c r="B828" s="56"/>
      <c r="C828" s="56"/>
      <c r="D828" s="56"/>
      <c r="E828" s="56"/>
      <c r="F828" s="56"/>
      <c r="G828" s="56"/>
      <c r="H828" s="56"/>
      <c r="I828" s="56"/>
      <c r="J828" s="56"/>
    </row>
    <row r="829">
      <c r="A829" s="55"/>
      <c r="B829" s="56"/>
      <c r="C829" s="56"/>
      <c r="D829" s="56"/>
      <c r="E829" s="56"/>
      <c r="F829" s="56"/>
      <c r="G829" s="56"/>
      <c r="H829" s="56"/>
      <c r="I829" s="56"/>
      <c r="J829" s="56"/>
    </row>
    <row r="830">
      <c r="A830" s="55"/>
      <c r="B830" s="56"/>
      <c r="C830" s="56"/>
      <c r="D830" s="56"/>
      <c r="E830" s="56"/>
      <c r="F830" s="56"/>
      <c r="G830" s="56"/>
      <c r="H830" s="56"/>
      <c r="I830" s="56"/>
      <c r="J830" s="56"/>
    </row>
    <row r="831">
      <c r="A831" s="55"/>
      <c r="B831" s="56"/>
      <c r="C831" s="56"/>
      <c r="D831" s="56"/>
      <c r="E831" s="56"/>
      <c r="F831" s="56"/>
      <c r="G831" s="56"/>
      <c r="H831" s="56"/>
      <c r="I831" s="56"/>
      <c r="J831" s="56"/>
    </row>
    <row r="832">
      <c r="A832" s="55"/>
      <c r="B832" s="56"/>
      <c r="C832" s="56"/>
      <c r="D832" s="56"/>
      <c r="E832" s="56"/>
      <c r="F832" s="56"/>
      <c r="G832" s="56"/>
      <c r="H832" s="56"/>
      <c r="I832" s="56"/>
      <c r="J832" s="56"/>
    </row>
    <row r="833">
      <c r="A833" s="55"/>
      <c r="B833" s="56"/>
      <c r="C833" s="56"/>
      <c r="D833" s="56"/>
      <c r="E833" s="56"/>
      <c r="F833" s="56"/>
      <c r="G833" s="56"/>
      <c r="H833" s="56"/>
      <c r="I833" s="56"/>
      <c r="J833" s="56"/>
    </row>
    <row r="834">
      <c r="A834" s="55"/>
      <c r="B834" s="56"/>
      <c r="C834" s="56"/>
      <c r="D834" s="56"/>
      <c r="E834" s="56"/>
      <c r="F834" s="56"/>
      <c r="G834" s="56"/>
      <c r="H834" s="56"/>
      <c r="I834" s="56"/>
      <c r="J834" s="56"/>
    </row>
    <row r="835">
      <c r="A835" s="55"/>
      <c r="B835" s="56"/>
      <c r="C835" s="56"/>
      <c r="D835" s="56"/>
      <c r="E835" s="56"/>
      <c r="F835" s="56"/>
      <c r="G835" s="56"/>
      <c r="H835" s="56"/>
      <c r="I835" s="56"/>
      <c r="J835" s="56"/>
    </row>
    <row r="836">
      <c r="A836" s="55"/>
      <c r="B836" s="56"/>
      <c r="C836" s="56"/>
      <c r="D836" s="56"/>
      <c r="E836" s="56"/>
      <c r="F836" s="56"/>
      <c r="G836" s="56"/>
      <c r="H836" s="56"/>
      <c r="I836" s="56"/>
      <c r="J836" s="56"/>
    </row>
    <row r="837">
      <c r="A837" s="55"/>
      <c r="B837" s="56"/>
      <c r="C837" s="56"/>
      <c r="D837" s="56"/>
      <c r="E837" s="56"/>
      <c r="F837" s="56"/>
      <c r="G837" s="56"/>
      <c r="H837" s="56"/>
      <c r="I837" s="56"/>
      <c r="J837" s="56"/>
    </row>
    <row r="838">
      <c r="A838" s="55"/>
      <c r="B838" s="56"/>
      <c r="C838" s="56"/>
      <c r="D838" s="56"/>
      <c r="E838" s="56"/>
      <c r="F838" s="56"/>
      <c r="G838" s="56"/>
      <c r="H838" s="56"/>
      <c r="I838" s="56"/>
      <c r="J838" s="56"/>
    </row>
    <row r="839">
      <c r="A839" s="55"/>
      <c r="B839" s="56"/>
      <c r="C839" s="56"/>
      <c r="D839" s="56"/>
      <c r="E839" s="56"/>
      <c r="F839" s="56"/>
      <c r="G839" s="56"/>
      <c r="H839" s="56"/>
      <c r="I839" s="56"/>
      <c r="J839" s="56"/>
    </row>
    <row r="840">
      <c r="A840" s="55"/>
      <c r="B840" s="56"/>
      <c r="C840" s="56"/>
      <c r="D840" s="56"/>
      <c r="E840" s="56"/>
      <c r="F840" s="56"/>
      <c r="G840" s="56"/>
      <c r="H840" s="56"/>
      <c r="I840" s="56"/>
      <c r="J840" s="56"/>
    </row>
    <row r="841">
      <c r="A841" s="55"/>
      <c r="B841" s="56"/>
      <c r="C841" s="56"/>
      <c r="D841" s="56"/>
      <c r="E841" s="56"/>
      <c r="F841" s="56"/>
      <c r="G841" s="56"/>
      <c r="H841" s="56"/>
      <c r="I841" s="56"/>
      <c r="J841" s="56"/>
    </row>
    <row r="842">
      <c r="A842" s="55"/>
      <c r="B842" s="56"/>
      <c r="C842" s="56"/>
      <c r="D842" s="56"/>
      <c r="E842" s="56"/>
      <c r="F842" s="56"/>
      <c r="G842" s="56"/>
      <c r="H842" s="56"/>
      <c r="I842" s="56"/>
      <c r="J842" s="56"/>
    </row>
    <row r="843">
      <c r="A843" s="55"/>
      <c r="B843" s="56"/>
      <c r="C843" s="56"/>
      <c r="D843" s="56"/>
      <c r="E843" s="56"/>
      <c r="F843" s="56"/>
      <c r="G843" s="56"/>
      <c r="H843" s="56"/>
      <c r="I843" s="56"/>
      <c r="J843" s="56"/>
    </row>
    <row r="844">
      <c r="A844" s="55"/>
      <c r="B844" s="56"/>
      <c r="C844" s="56"/>
      <c r="D844" s="56"/>
      <c r="E844" s="56"/>
      <c r="F844" s="56"/>
      <c r="G844" s="56"/>
      <c r="H844" s="56"/>
      <c r="I844" s="56"/>
      <c r="J844" s="56"/>
    </row>
    <row r="845">
      <c r="A845" s="55"/>
      <c r="B845" s="56"/>
      <c r="C845" s="56"/>
      <c r="D845" s="56"/>
      <c r="E845" s="56"/>
      <c r="F845" s="56"/>
      <c r="G845" s="56"/>
      <c r="H845" s="56"/>
      <c r="I845" s="56"/>
      <c r="J845" s="56"/>
    </row>
    <row r="846">
      <c r="A846" s="55"/>
      <c r="B846" s="56"/>
      <c r="C846" s="56"/>
      <c r="D846" s="56"/>
      <c r="E846" s="56"/>
      <c r="F846" s="56"/>
      <c r="G846" s="56"/>
      <c r="H846" s="56"/>
      <c r="I846" s="56"/>
      <c r="J846" s="56"/>
    </row>
    <row r="847">
      <c r="A847" s="55"/>
      <c r="B847" s="56"/>
      <c r="C847" s="56"/>
      <c r="D847" s="56"/>
      <c r="E847" s="56"/>
      <c r="F847" s="56"/>
      <c r="G847" s="56"/>
      <c r="H847" s="56"/>
      <c r="I847" s="56"/>
      <c r="J847" s="56"/>
    </row>
    <row r="848">
      <c r="A848" s="55"/>
      <c r="B848" s="56"/>
      <c r="C848" s="56"/>
      <c r="D848" s="56"/>
      <c r="E848" s="56"/>
      <c r="F848" s="56"/>
      <c r="G848" s="56"/>
      <c r="H848" s="56"/>
      <c r="I848" s="56"/>
      <c r="J848" s="56"/>
    </row>
    <row r="849">
      <c r="A849" s="55"/>
      <c r="B849" s="56"/>
      <c r="C849" s="56"/>
      <c r="D849" s="56"/>
      <c r="E849" s="56"/>
      <c r="F849" s="56"/>
      <c r="G849" s="56"/>
      <c r="H849" s="56"/>
      <c r="I849" s="56"/>
      <c r="J849" s="56"/>
    </row>
    <row r="850">
      <c r="A850" s="55"/>
      <c r="B850" s="56"/>
      <c r="C850" s="56"/>
      <c r="D850" s="56"/>
      <c r="E850" s="56"/>
      <c r="F850" s="56"/>
      <c r="G850" s="56"/>
      <c r="H850" s="56"/>
      <c r="I850" s="56"/>
      <c r="J850" s="56"/>
    </row>
    <row r="851">
      <c r="A851" s="55"/>
      <c r="B851" s="56"/>
      <c r="C851" s="56"/>
      <c r="D851" s="56"/>
      <c r="E851" s="56"/>
      <c r="F851" s="56"/>
      <c r="G851" s="56"/>
      <c r="H851" s="56"/>
      <c r="I851" s="56"/>
      <c r="J851" s="56"/>
    </row>
    <row r="852">
      <c r="A852" s="55"/>
      <c r="B852" s="56"/>
      <c r="C852" s="56"/>
      <c r="D852" s="56"/>
      <c r="E852" s="56"/>
      <c r="F852" s="56"/>
      <c r="G852" s="56"/>
      <c r="H852" s="56"/>
      <c r="I852" s="56"/>
      <c r="J852" s="56"/>
    </row>
    <row r="853">
      <c r="A853" s="55"/>
      <c r="B853" s="56"/>
      <c r="C853" s="56"/>
      <c r="D853" s="56"/>
      <c r="E853" s="56"/>
      <c r="F853" s="56"/>
      <c r="G853" s="56"/>
      <c r="H853" s="56"/>
      <c r="I853" s="56"/>
      <c r="J853" s="56"/>
    </row>
    <row r="854">
      <c r="A854" s="55"/>
      <c r="B854" s="56"/>
      <c r="C854" s="56"/>
      <c r="D854" s="56"/>
      <c r="E854" s="56"/>
      <c r="F854" s="56"/>
      <c r="G854" s="56"/>
      <c r="H854" s="56"/>
      <c r="I854" s="56"/>
      <c r="J854" s="56"/>
    </row>
    <row r="855">
      <c r="A855" s="55"/>
      <c r="B855" s="56"/>
      <c r="C855" s="56"/>
      <c r="D855" s="56"/>
      <c r="E855" s="56"/>
      <c r="F855" s="56"/>
      <c r="G855" s="56"/>
      <c r="H855" s="56"/>
      <c r="I855" s="56"/>
      <c r="J855" s="56"/>
    </row>
    <row r="856">
      <c r="A856" s="55"/>
      <c r="B856" s="56"/>
      <c r="C856" s="56"/>
      <c r="D856" s="56"/>
      <c r="E856" s="56"/>
      <c r="F856" s="56"/>
      <c r="G856" s="56"/>
      <c r="H856" s="56"/>
      <c r="I856" s="56"/>
      <c r="J856" s="56"/>
    </row>
    <row r="857">
      <c r="A857" s="55"/>
      <c r="B857" s="56"/>
      <c r="C857" s="56"/>
      <c r="D857" s="56"/>
      <c r="E857" s="56"/>
      <c r="F857" s="56"/>
      <c r="G857" s="56"/>
      <c r="H857" s="56"/>
      <c r="I857" s="56"/>
      <c r="J857" s="56"/>
    </row>
    <row r="858">
      <c r="A858" s="55"/>
      <c r="B858" s="56"/>
      <c r="C858" s="56"/>
      <c r="D858" s="56"/>
      <c r="E858" s="56"/>
      <c r="F858" s="56"/>
      <c r="G858" s="56"/>
      <c r="H858" s="56"/>
      <c r="I858" s="56"/>
      <c r="J858" s="56"/>
    </row>
    <row r="859">
      <c r="A859" s="55"/>
      <c r="B859" s="56"/>
      <c r="C859" s="56"/>
      <c r="D859" s="56"/>
      <c r="E859" s="56"/>
      <c r="F859" s="56"/>
      <c r="G859" s="56"/>
      <c r="H859" s="56"/>
      <c r="I859" s="56"/>
      <c r="J859" s="56"/>
    </row>
    <row r="860">
      <c r="A860" s="55"/>
      <c r="B860" s="56"/>
      <c r="C860" s="56"/>
      <c r="D860" s="56"/>
      <c r="E860" s="56"/>
      <c r="F860" s="56"/>
      <c r="G860" s="56"/>
      <c r="H860" s="56"/>
      <c r="I860" s="56"/>
      <c r="J860" s="56"/>
    </row>
    <row r="861">
      <c r="A861" s="55"/>
      <c r="B861" s="56"/>
      <c r="C861" s="56"/>
      <c r="D861" s="56"/>
      <c r="E861" s="56"/>
      <c r="F861" s="56"/>
      <c r="G861" s="56"/>
      <c r="H861" s="56"/>
      <c r="I861" s="56"/>
      <c r="J861" s="56"/>
    </row>
    <row r="862">
      <c r="A862" s="55"/>
      <c r="B862" s="56"/>
      <c r="C862" s="56"/>
      <c r="D862" s="56"/>
      <c r="E862" s="56"/>
      <c r="F862" s="56"/>
      <c r="G862" s="56"/>
      <c r="H862" s="56"/>
      <c r="I862" s="56"/>
      <c r="J862" s="56"/>
    </row>
    <row r="863">
      <c r="A863" s="55"/>
      <c r="B863" s="56"/>
      <c r="C863" s="56"/>
      <c r="D863" s="56"/>
      <c r="E863" s="56"/>
      <c r="F863" s="56"/>
      <c r="G863" s="56"/>
      <c r="H863" s="56"/>
      <c r="I863" s="56"/>
      <c r="J863" s="56"/>
    </row>
    <row r="864">
      <c r="A864" s="55"/>
      <c r="B864" s="56"/>
      <c r="C864" s="56"/>
      <c r="D864" s="56"/>
      <c r="E864" s="56"/>
      <c r="F864" s="56"/>
      <c r="G864" s="56"/>
      <c r="H864" s="56"/>
      <c r="I864" s="56"/>
      <c r="J864" s="56"/>
    </row>
    <row r="865">
      <c r="A865" s="55"/>
      <c r="B865" s="56"/>
      <c r="C865" s="56"/>
      <c r="D865" s="56"/>
      <c r="E865" s="56"/>
      <c r="F865" s="56"/>
      <c r="G865" s="56"/>
      <c r="H865" s="56"/>
      <c r="I865" s="56"/>
      <c r="J865" s="56"/>
    </row>
    <row r="866">
      <c r="A866" s="55"/>
      <c r="B866" s="56"/>
      <c r="C866" s="56"/>
      <c r="D866" s="56"/>
      <c r="E866" s="56"/>
      <c r="F866" s="56"/>
      <c r="G866" s="56"/>
      <c r="H866" s="56"/>
      <c r="I866" s="56"/>
      <c r="J866" s="56"/>
    </row>
    <row r="867">
      <c r="A867" s="55"/>
      <c r="B867" s="56"/>
      <c r="C867" s="56"/>
      <c r="D867" s="56"/>
      <c r="E867" s="56"/>
      <c r="F867" s="56"/>
      <c r="G867" s="56"/>
      <c r="H867" s="56"/>
      <c r="I867" s="56"/>
      <c r="J867" s="56"/>
    </row>
    <row r="868">
      <c r="A868" s="55"/>
      <c r="B868" s="56"/>
      <c r="C868" s="56"/>
      <c r="D868" s="56"/>
      <c r="E868" s="56"/>
      <c r="F868" s="56"/>
      <c r="G868" s="56"/>
      <c r="H868" s="56"/>
      <c r="I868" s="56"/>
      <c r="J868" s="56"/>
    </row>
    <row r="869">
      <c r="A869" s="55"/>
      <c r="B869" s="56"/>
      <c r="C869" s="56"/>
      <c r="D869" s="56"/>
      <c r="E869" s="56"/>
      <c r="F869" s="56"/>
      <c r="G869" s="56"/>
      <c r="H869" s="56"/>
      <c r="I869" s="56"/>
      <c r="J869" s="56"/>
    </row>
    <row r="870">
      <c r="A870" s="55"/>
      <c r="B870" s="56"/>
      <c r="C870" s="56"/>
      <c r="D870" s="56"/>
      <c r="E870" s="56"/>
      <c r="F870" s="56"/>
      <c r="G870" s="56"/>
      <c r="H870" s="56"/>
      <c r="I870" s="56"/>
      <c r="J870" s="56"/>
    </row>
    <row r="871">
      <c r="A871" s="55"/>
      <c r="B871" s="56"/>
      <c r="C871" s="56"/>
      <c r="D871" s="56"/>
      <c r="E871" s="56"/>
      <c r="F871" s="56"/>
      <c r="G871" s="56"/>
      <c r="H871" s="56"/>
      <c r="I871" s="56"/>
      <c r="J871" s="56"/>
    </row>
    <row r="872">
      <c r="A872" s="55"/>
      <c r="B872" s="56"/>
      <c r="C872" s="56"/>
      <c r="D872" s="56"/>
      <c r="E872" s="56"/>
      <c r="F872" s="56"/>
      <c r="G872" s="56"/>
      <c r="H872" s="56"/>
      <c r="I872" s="56"/>
      <c r="J872" s="56"/>
    </row>
    <row r="873">
      <c r="A873" s="55"/>
      <c r="B873" s="56"/>
      <c r="C873" s="56"/>
      <c r="D873" s="56"/>
      <c r="E873" s="56"/>
      <c r="F873" s="56"/>
      <c r="G873" s="56"/>
      <c r="H873" s="56"/>
      <c r="I873" s="56"/>
      <c r="J873" s="56"/>
    </row>
    <row r="874">
      <c r="A874" s="55"/>
      <c r="B874" s="56"/>
      <c r="C874" s="56"/>
      <c r="D874" s="56"/>
      <c r="E874" s="56"/>
      <c r="F874" s="56"/>
      <c r="G874" s="56"/>
      <c r="H874" s="56"/>
      <c r="I874" s="56"/>
      <c r="J874" s="56"/>
    </row>
    <row r="875">
      <c r="A875" s="55"/>
      <c r="B875" s="56"/>
      <c r="C875" s="56"/>
      <c r="D875" s="56"/>
      <c r="E875" s="56"/>
      <c r="F875" s="56"/>
      <c r="G875" s="56"/>
      <c r="H875" s="56"/>
      <c r="I875" s="56"/>
      <c r="J875" s="56"/>
    </row>
    <row r="876">
      <c r="A876" s="55"/>
      <c r="B876" s="56"/>
      <c r="C876" s="56"/>
      <c r="D876" s="56"/>
      <c r="E876" s="56"/>
      <c r="F876" s="56"/>
      <c r="G876" s="56"/>
      <c r="H876" s="56"/>
      <c r="I876" s="56"/>
      <c r="J876" s="56"/>
    </row>
    <row r="877">
      <c r="A877" s="55"/>
      <c r="B877" s="56"/>
      <c r="C877" s="56"/>
      <c r="D877" s="56"/>
      <c r="E877" s="56"/>
      <c r="F877" s="56"/>
      <c r="G877" s="56"/>
      <c r="H877" s="56"/>
      <c r="I877" s="56"/>
      <c r="J877" s="56"/>
    </row>
    <row r="878">
      <c r="A878" s="55"/>
      <c r="B878" s="56"/>
      <c r="C878" s="56"/>
      <c r="D878" s="56"/>
      <c r="E878" s="56"/>
      <c r="F878" s="56"/>
      <c r="G878" s="56"/>
      <c r="H878" s="56"/>
      <c r="I878" s="56"/>
      <c r="J878" s="56"/>
    </row>
    <row r="879">
      <c r="A879" s="55"/>
      <c r="B879" s="56"/>
      <c r="C879" s="56"/>
      <c r="D879" s="56"/>
      <c r="E879" s="56"/>
      <c r="F879" s="56"/>
      <c r="G879" s="56"/>
      <c r="H879" s="56"/>
      <c r="I879" s="56"/>
      <c r="J879" s="56"/>
    </row>
    <row r="880">
      <c r="A880" s="55"/>
      <c r="B880" s="56"/>
      <c r="C880" s="56"/>
      <c r="D880" s="56"/>
      <c r="E880" s="56"/>
      <c r="F880" s="56"/>
      <c r="G880" s="56"/>
      <c r="H880" s="56"/>
      <c r="I880" s="56"/>
      <c r="J880" s="56"/>
    </row>
    <row r="881">
      <c r="A881" s="55"/>
      <c r="B881" s="56"/>
      <c r="C881" s="56"/>
      <c r="D881" s="56"/>
      <c r="E881" s="56"/>
      <c r="F881" s="56"/>
      <c r="G881" s="56"/>
      <c r="H881" s="56"/>
      <c r="I881" s="56"/>
      <c r="J881" s="56"/>
    </row>
    <row r="882">
      <c r="A882" s="55"/>
      <c r="B882" s="56"/>
      <c r="C882" s="56"/>
      <c r="D882" s="56"/>
      <c r="E882" s="56"/>
      <c r="F882" s="56"/>
      <c r="G882" s="56"/>
      <c r="H882" s="56"/>
      <c r="I882" s="56"/>
      <c r="J882" s="56"/>
    </row>
    <row r="883">
      <c r="A883" s="55"/>
      <c r="B883" s="56"/>
      <c r="C883" s="56"/>
      <c r="D883" s="56"/>
      <c r="E883" s="56"/>
      <c r="F883" s="56"/>
      <c r="G883" s="56"/>
      <c r="H883" s="56"/>
      <c r="I883" s="56"/>
      <c r="J883" s="56"/>
    </row>
    <row r="884">
      <c r="A884" s="55"/>
      <c r="B884" s="56"/>
      <c r="C884" s="56"/>
      <c r="D884" s="56"/>
      <c r="E884" s="56"/>
      <c r="F884" s="56"/>
      <c r="G884" s="56"/>
      <c r="H884" s="56"/>
      <c r="I884" s="56"/>
      <c r="J884" s="56"/>
    </row>
    <row r="885">
      <c r="A885" s="55"/>
      <c r="B885" s="56"/>
      <c r="C885" s="56"/>
      <c r="D885" s="56"/>
      <c r="E885" s="56"/>
      <c r="F885" s="56"/>
      <c r="G885" s="56"/>
      <c r="H885" s="56"/>
      <c r="I885" s="56"/>
      <c r="J885" s="56"/>
    </row>
    <row r="886">
      <c r="A886" s="55"/>
      <c r="B886" s="56"/>
      <c r="C886" s="56"/>
      <c r="D886" s="56"/>
      <c r="E886" s="56"/>
      <c r="F886" s="56"/>
      <c r="G886" s="56"/>
      <c r="H886" s="56"/>
      <c r="I886" s="56"/>
      <c r="J886" s="56"/>
    </row>
    <row r="887">
      <c r="A887" s="55"/>
      <c r="B887" s="56"/>
      <c r="C887" s="56"/>
      <c r="D887" s="56"/>
      <c r="E887" s="56"/>
      <c r="F887" s="56"/>
      <c r="G887" s="56"/>
      <c r="H887" s="56"/>
      <c r="I887" s="56"/>
      <c r="J887" s="56"/>
    </row>
    <row r="888">
      <c r="A888" s="55"/>
      <c r="B888" s="56"/>
      <c r="C888" s="56"/>
      <c r="D888" s="56"/>
      <c r="E888" s="56"/>
      <c r="F888" s="56"/>
      <c r="G888" s="56"/>
      <c r="H888" s="56"/>
      <c r="I888" s="56"/>
      <c r="J888" s="56"/>
    </row>
    <row r="889">
      <c r="A889" s="55"/>
      <c r="B889" s="56"/>
      <c r="C889" s="56"/>
      <c r="D889" s="56"/>
      <c r="E889" s="56"/>
      <c r="F889" s="56"/>
      <c r="G889" s="56"/>
      <c r="H889" s="56"/>
      <c r="I889" s="56"/>
      <c r="J889" s="56"/>
    </row>
    <row r="890">
      <c r="A890" s="55"/>
      <c r="B890" s="56"/>
      <c r="C890" s="56"/>
      <c r="D890" s="56"/>
      <c r="E890" s="56"/>
      <c r="F890" s="56"/>
      <c r="G890" s="56"/>
      <c r="H890" s="56"/>
      <c r="I890" s="56"/>
      <c r="J890" s="56"/>
    </row>
    <row r="891">
      <c r="A891" s="55"/>
      <c r="B891" s="56"/>
      <c r="C891" s="56"/>
      <c r="D891" s="56"/>
      <c r="E891" s="56"/>
      <c r="F891" s="56"/>
      <c r="G891" s="56"/>
      <c r="H891" s="56"/>
      <c r="I891" s="56"/>
      <c r="J891" s="56"/>
    </row>
    <row r="892">
      <c r="A892" s="55"/>
      <c r="B892" s="56"/>
      <c r="C892" s="56"/>
      <c r="D892" s="56"/>
      <c r="E892" s="56"/>
      <c r="F892" s="56"/>
      <c r="G892" s="56"/>
      <c r="H892" s="56"/>
      <c r="I892" s="56"/>
      <c r="J892" s="56"/>
    </row>
    <row r="893">
      <c r="A893" s="55"/>
      <c r="B893" s="56"/>
      <c r="C893" s="56"/>
      <c r="D893" s="56"/>
      <c r="E893" s="56"/>
      <c r="F893" s="56"/>
      <c r="G893" s="56"/>
      <c r="H893" s="56"/>
      <c r="I893" s="56"/>
      <c r="J893" s="56"/>
    </row>
    <row r="894">
      <c r="A894" s="55"/>
      <c r="B894" s="56"/>
      <c r="C894" s="56"/>
      <c r="D894" s="56"/>
      <c r="E894" s="56"/>
      <c r="F894" s="56"/>
      <c r="G894" s="56"/>
      <c r="H894" s="56"/>
      <c r="I894" s="56"/>
      <c r="J894" s="56"/>
    </row>
    <row r="895">
      <c r="A895" s="55"/>
      <c r="B895" s="56"/>
      <c r="C895" s="56"/>
      <c r="D895" s="56"/>
      <c r="E895" s="56"/>
      <c r="F895" s="56"/>
      <c r="G895" s="56"/>
      <c r="H895" s="56"/>
      <c r="I895" s="56"/>
      <c r="J895" s="56"/>
    </row>
    <row r="896">
      <c r="A896" s="55"/>
      <c r="B896" s="56"/>
      <c r="C896" s="56"/>
      <c r="D896" s="56"/>
      <c r="E896" s="56"/>
      <c r="F896" s="56"/>
      <c r="G896" s="56"/>
      <c r="H896" s="56"/>
      <c r="I896" s="56"/>
      <c r="J896" s="56"/>
    </row>
    <row r="897">
      <c r="A897" s="55"/>
      <c r="B897" s="56"/>
      <c r="C897" s="56"/>
      <c r="D897" s="56"/>
      <c r="E897" s="56"/>
      <c r="F897" s="56"/>
      <c r="G897" s="56"/>
      <c r="H897" s="56"/>
      <c r="I897" s="56"/>
      <c r="J897" s="56"/>
    </row>
    <row r="898">
      <c r="A898" s="55"/>
      <c r="B898" s="56"/>
      <c r="C898" s="56"/>
      <c r="D898" s="56"/>
      <c r="E898" s="56"/>
      <c r="F898" s="56"/>
      <c r="G898" s="56"/>
      <c r="H898" s="56"/>
      <c r="I898" s="56"/>
      <c r="J898" s="56"/>
    </row>
    <row r="899">
      <c r="A899" s="55"/>
      <c r="B899" s="56"/>
      <c r="C899" s="56"/>
      <c r="D899" s="56"/>
      <c r="E899" s="56"/>
      <c r="F899" s="56"/>
      <c r="G899" s="56"/>
      <c r="H899" s="56"/>
      <c r="I899" s="56"/>
      <c r="J899" s="56"/>
    </row>
    <row r="900">
      <c r="A900" s="55"/>
      <c r="B900" s="56"/>
      <c r="C900" s="56"/>
      <c r="D900" s="56"/>
      <c r="E900" s="56"/>
      <c r="F900" s="56"/>
      <c r="G900" s="56"/>
      <c r="H900" s="56"/>
      <c r="I900" s="56"/>
      <c r="J900" s="56"/>
    </row>
    <row r="901">
      <c r="A901" s="55"/>
      <c r="B901" s="56"/>
      <c r="C901" s="56"/>
      <c r="D901" s="56"/>
      <c r="E901" s="56"/>
      <c r="F901" s="56"/>
      <c r="G901" s="56"/>
      <c r="H901" s="56"/>
      <c r="I901" s="56"/>
      <c r="J901" s="56"/>
    </row>
    <row r="902">
      <c r="A902" s="55"/>
      <c r="B902" s="56"/>
      <c r="C902" s="56"/>
      <c r="D902" s="56"/>
      <c r="E902" s="56"/>
      <c r="F902" s="56"/>
      <c r="G902" s="56"/>
      <c r="H902" s="56"/>
      <c r="I902" s="56"/>
      <c r="J902" s="56"/>
    </row>
    <row r="903">
      <c r="A903" s="55"/>
      <c r="B903" s="56"/>
      <c r="C903" s="56"/>
      <c r="D903" s="56"/>
      <c r="E903" s="56"/>
      <c r="F903" s="56"/>
      <c r="G903" s="56"/>
      <c r="H903" s="56"/>
      <c r="I903" s="56"/>
      <c r="J903" s="56"/>
    </row>
    <row r="904">
      <c r="A904" s="55"/>
      <c r="B904" s="56"/>
      <c r="C904" s="56"/>
      <c r="D904" s="56"/>
      <c r="E904" s="56"/>
      <c r="F904" s="56"/>
      <c r="G904" s="56"/>
      <c r="H904" s="56"/>
      <c r="I904" s="56"/>
      <c r="J904" s="56"/>
    </row>
    <row r="905">
      <c r="A905" s="55"/>
      <c r="B905" s="56"/>
      <c r="C905" s="56"/>
      <c r="D905" s="56"/>
      <c r="E905" s="56"/>
      <c r="F905" s="56"/>
      <c r="G905" s="56"/>
      <c r="H905" s="56"/>
      <c r="I905" s="56"/>
      <c r="J905" s="56"/>
    </row>
    <row r="906">
      <c r="A906" s="55"/>
      <c r="B906" s="56"/>
      <c r="C906" s="56"/>
      <c r="D906" s="56"/>
      <c r="E906" s="56"/>
      <c r="F906" s="56"/>
      <c r="G906" s="56"/>
      <c r="H906" s="56"/>
      <c r="I906" s="56"/>
      <c r="J906" s="56"/>
    </row>
    <row r="907">
      <c r="A907" s="55"/>
      <c r="B907" s="56"/>
      <c r="C907" s="56"/>
      <c r="D907" s="56"/>
      <c r="E907" s="56"/>
      <c r="F907" s="56"/>
      <c r="G907" s="56"/>
      <c r="H907" s="56"/>
      <c r="I907" s="56"/>
      <c r="J907" s="56"/>
    </row>
    <row r="908">
      <c r="A908" s="55"/>
      <c r="B908" s="56"/>
      <c r="C908" s="56"/>
      <c r="D908" s="56"/>
      <c r="E908" s="56"/>
      <c r="F908" s="56"/>
      <c r="G908" s="56"/>
      <c r="H908" s="56"/>
      <c r="I908" s="56"/>
      <c r="J908" s="56"/>
    </row>
    <row r="909">
      <c r="A909" s="55"/>
      <c r="B909" s="56"/>
      <c r="C909" s="56"/>
      <c r="D909" s="56"/>
      <c r="E909" s="56"/>
      <c r="F909" s="56"/>
      <c r="G909" s="56"/>
      <c r="H909" s="56"/>
      <c r="I909" s="56"/>
      <c r="J909" s="56"/>
    </row>
    <row r="910">
      <c r="A910" s="55"/>
      <c r="B910" s="56"/>
      <c r="C910" s="56"/>
      <c r="D910" s="56"/>
      <c r="E910" s="56"/>
      <c r="F910" s="56"/>
      <c r="G910" s="56"/>
      <c r="H910" s="56"/>
      <c r="I910" s="56"/>
      <c r="J910" s="56"/>
    </row>
    <row r="911">
      <c r="A911" s="55"/>
      <c r="B911" s="56"/>
      <c r="C911" s="56"/>
      <c r="D911" s="56"/>
      <c r="E911" s="56"/>
      <c r="F911" s="56"/>
      <c r="G911" s="56"/>
      <c r="H911" s="56"/>
      <c r="I911" s="56"/>
      <c r="J911" s="56"/>
    </row>
    <row r="912">
      <c r="A912" s="55"/>
      <c r="B912" s="56"/>
      <c r="C912" s="56"/>
      <c r="D912" s="56"/>
      <c r="E912" s="56"/>
      <c r="F912" s="56"/>
      <c r="G912" s="56"/>
      <c r="H912" s="56"/>
      <c r="I912" s="56"/>
      <c r="J912" s="56"/>
    </row>
    <row r="913">
      <c r="A913" s="55"/>
      <c r="B913" s="56"/>
      <c r="C913" s="56"/>
      <c r="D913" s="56"/>
      <c r="E913" s="56"/>
      <c r="F913" s="56"/>
      <c r="G913" s="56"/>
      <c r="H913" s="56"/>
      <c r="I913" s="56"/>
      <c r="J913" s="56"/>
    </row>
    <row r="914">
      <c r="A914" s="55"/>
      <c r="B914" s="56"/>
      <c r="C914" s="56"/>
      <c r="D914" s="56"/>
      <c r="E914" s="56"/>
      <c r="F914" s="56"/>
      <c r="G914" s="56"/>
      <c r="H914" s="56"/>
      <c r="I914" s="56"/>
      <c r="J914" s="56"/>
    </row>
    <row r="915">
      <c r="A915" s="55"/>
      <c r="B915" s="56"/>
      <c r="C915" s="56"/>
      <c r="D915" s="56"/>
      <c r="E915" s="56"/>
      <c r="F915" s="56"/>
      <c r="G915" s="56"/>
      <c r="H915" s="56"/>
      <c r="I915" s="56"/>
      <c r="J915" s="56"/>
    </row>
    <row r="916">
      <c r="A916" s="55"/>
      <c r="B916" s="56"/>
      <c r="C916" s="56"/>
      <c r="D916" s="56"/>
      <c r="E916" s="56"/>
      <c r="F916" s="56"/>
      <c r="G916" s="56"/>
      <c r="H916" s="56"/>
      <c r="I916" s="56"/>
      <c r="J916" s="56"/>
    </row>
    <row r="917">
      <c r="A917" s="55"/>
      <c r="B917" s="56"/>
      <c r="C917" s="56"/>
      <c r="D917" s="56"/>
      <c r="E917" s="56"/>
      <c r="F917" s="56"/>
      <c r="G917" s="56"/>
      <c r="H917" s="56"/>
      <c r="I917" s="56"/>
      <c r="J917" s="56"/>
    </row>
    <row r="918">
      <c r="A918" s="55"/>
      <c r="B918" s="56"/>
      <c r="C918" s="56"/>
      <c r="D918" s="56"/>
      <c r="E918" s="56"/>
      <c r="F918" s="56"/>
      <c r="G918" s="56"/>
      <c r="H918" s="56"/>
      <c r="I918" s="56"/>
      <c r="J918" s="56"/>
    </row>
    <row r="919">
      <c r="A919" s="55"/>
      <c r="B919" s="56"/>
      <c r="C919" s="56"/>
      <c r="D919" s="56"/>
      <c r="E919" s="56"/>
      <c r="F919" s="56"/>
      <c r="G919" s="56"/>
      <c r="H919" s="56"/>
      <c r="I919" s="56"/>
      <c r="J919" s="56"/>
    </row>
    <row r="920">
      <c r="A920" s="55"/>
      <c r="B920" s="56"/>
      <c r="C920" s="56"/>
      <c r="D920" s="56"/>
      <c r="E920" s="56"/>
      <c r="F920" s="56"/>
      <c r="G920" s="56"/>
      <c r="H920" s="56"/>
      <c r="I920" s="56"/>
      <c r="J920" s="56"/>
    </row>
    <row r="921">
      <c r="A921" s="55"/>
      <c r="B921" s="56"/>
      <c r="C921" s="56"/>
      <c r="D921" s="56"/>
      <c r="E921" s="56"/>
      <c r="F921" s="56"/>
      <c r="G921" s="56"/>
      <c r="H921" s="56"/>
      <c r="I921" s="56"/>
      <c r="J921" s="56"/>
    </row>
    <row r="922">
      <c r="A922" s="55"/>
      <c r="B922" s="56"/>
      <c r="C922" s="56"/>
      <c r="D922" s="56"/>
      <c r="E922" s="56"/>
      <c r="F922" s="56"/>
      <c r="G922" s="56"/>
      <c r="H922" s="56"/>
      <c r="I922" s="56"/>
      <c r="J922" s="56"/>
    </row>
    <row r="923">
      <c r="A923" s="55"/>
      <c r="B923" s="56"/>
      <c r="C923" s="56"/>
      <c r="D923" s="56"/>
      <c r="E923" s="56"/>
      <c r="F923" s="56"/>
      <c r="G923" s="56"/>
      <c r="H923" s="56"/>
      <c r="I923" s="56"/>
      <c r="J923" s="56"/>
    </row>
    <row r="924">
      <c r="A924" s="55"/>
      <c r="B924" s="56"/>
      <c r="C924" s="56"/>
      <c r="D924" s="56"/>
      <c r="E924" s="56"/>
      <c r="F924" s="56"/>
      <c r="G924" s="56"/>
      <c r="H924" s="56"/>
      <c r="I924" s="56"/>
      <c r="J924" s="56"/>
    </row>
    <row r="925">
      <c r="A925" s="55"/>
      <c r="B925" s="56"/>
      <c r="C925" s="56"/>
      <c r="D925" s="56"/>
      <c r="E925" s="56"/>
      <c r="F925" s="56"/>
      <c r="G925" s="56"/>
      <c r="H925" s="56"/>
      <c r="I925" s="56"/>
      <c r="J925" s="56"/>
    </row>
    <row r="926">
      <c r="A926" s="55"/>
      <c r="B926" s="56"/>
      <c r="C926" s="56"/>
      <c r="D926" s="56"/>
      <c r="E926" s="56"/>
      <c r="F926" s="56"/>
      <c r="G926" s="56"/>
      <c r="H926" s="56"/>
      <c r="I926" s="56"/>
      <c r="J926" s="56"/>
    </row>
    <row r="927">
      <c r="A927" s="55"/>
      <c r="B927" s="56"/>
      <c r="C927" s="56"/>
      <c r="D927" s="56"/>
      <c r="E927" s="56"/>
      <c r="F927" s="56"/>
      <c r="G927" s="56"/>
      <c r="H927" s="56"/>
      <c r="I927" s="56"/>
      <c r="J927" s="56"/>
    </row>
    <row r="928">
      <c r="A928" s="55"/>
      <c r="B928" s="56"/>
      <c r="C928" s="56"/>
      <c r="D928" s="56"/>
      <c r="E928" s="56"/>
      <c r="F928" s="56"/>
      <c r="G928" s="56"/>
      <c r="H928" s="56"/>
      <c r="I928" s="56"/>
      <c r="J928" s="56"/>
    </row>
    <row r="929">
      <c r="A929" s="55"/>
      <c r="B929" s="56"/>
      <c r="C929" s="56"/>
      <c r="D929" s="56"/>
      <c r="E929" s="56"/>
      <c r="F929" s="56"/>
      <c r="G929" s="56"/>
      <c r="H929" s="56"/>
      <c r="I929" s="56"/>
      <c r="J929" s="56"/>
    </row>
    <row r="930">
      <c r="A930" s="55"/>
      <c r="B930" s="56"/>
      <c r="C930" s="56"/>
      <c r="D930" s="56"/>
      <c r="E930" s="56"/>
      <c r="F930" s="56"/>
      <c r="G930" s="56"/>
      <c r="H930" s="56"/>
      <c r="I930" s="56"/>
      <c r="J930" s="56"/>
    </row>
    <row r="931">
      <c r="A931" s="55"/>
      <c r="B931" s="56"/>
      <c r="C931" s="56"/>
      <c r="D931" s="56"/>
      <c r="E931" s="56"/>
      <c r="F931" s="56"/>
      <c r="G931" s="56"/>
      <c r="H931" s="56"/>
      <c r="I931" s="56"/>
      <c r="J931" s="56"/>
    </row>
    <row r="932">
      <c r="A932" s="55"/>
      <c r="B932" s="56"/>
      <c r="C932" s="56"/>
      <c r="D932" s="56"/>
      <c r="E932" s="56"/>
      <c r="F932" s="56"/>
      <c r="G932" s="56"/>
      <c r="H932" s="56"/>
      <c r="I932" s="56"/>
      <c r="J932" s="56"/>
    </row>
    <row r="933">
      <c r="A933" s="55"/>
      <c r="B933" s="56"/>
      <c r="C933" s="56"/>
      <c r="D933" s="56"/>
      <c r="E933" s="56"/>
      <c r="F933" s="56"/>
      <c r="G933" s="56"/>
      <c r="H933" s="56"/>
      <c r="I933" s="56"/>
      <c r="J933" s="56"/>
    </row>
    <row r="934">
      <c r="A934" s="55"/>
      <c r="B934" s="56"/>
      <c r="C934" s="56"/>
      <c r="D934" s="56"/>
      <c r="E934" s="56"/>
      <c r="F934" s="56"/>
      <c r="G934" s="56"/>
      <c r="H934" s="56"/>
      <c r="I934" s="56"/>
      <c r="J934" s="56"/>
    </row>
    <row r="935">
      <c r="A935" s="55"/>
      <c r="B935" s="56"/>
      <c r="C935" s="56"/>
      <c r="D935" s="56"/>
      <c r="E935" s="56"/>
      <c r="F935" s="56"/>
      <c r="G935" s="56"/>
      <c r="H935" s="56"/>
      <c r="I935" s="56"/>
      <c r="J935" s="56"/>
    </row>
    <row r="936">
      <c r="A936" s="55"/>
      <c r="B936" s="56"/>
      <c r="C936" s="56"/>
      <c r="D936" s="56"/>
      <c r="E936" s="56"/>
      <c r="F936" s="56"/>
      <c r="G936" s="56"/>
      <c r="H936" s="56"/>
      <c r="I936" s="56"/>
      <c r="J936" s="56"/>
    </row>
    <row r="937">
      <c r="A937" s="55"/>
      <c r="B937" s="56"/>
      <c r="C937" s="56"/>
      <c r="D937" s="56"/>
      <c r="E937" s="56"/>
      <c r="F937" s="56"/>
      <c r="G937" s="56"/>
      <c r="H937" s="56"/>
      <c r="I937" s="56"/>
      <c r="J937" s="56"/>
    </row>
    <row r="938">
      <c r="A938" s="55"/>
      <c r="B938" s="56"/>
      <c r="C938" s="56"/>
      <c r="D938" s="56"/>
      <c r="E938" s="56"/>
      <c r="F938" s="56"/>
      <c r="G938" s="56"/>
      <c r="H938" s="56"/>
      <c r="I938" s="56"/>
      <c r="J938" s="56"/>
    </row>
    <row r="939">
      <c r="A939" s="55"/>
      <c r="B939" s="56"/>
      <c r="C939" s="56"/>
      <c r="D939" s="56"/>
      <c r="E939" s="56"/>
      <c r="F939" s="56"/>
      <c r="G939" s="56"/>
      <c r="H939" s="56"/>
      <c r="I939" s="56"/>
      <c r="J939" s="56"/>
    </row>
    <row r="940">
      <c r="A940" s="55"/>
      <c r="B940" s="56"/>
      <c r="C940" s="56"/>
      <c r="D940" s="56"/>
      <c r="E940" s="56"/>
      <c r="F940" s="56"/>
      <c r="G940" s="56"/>
      <c r="H940" s="56"/>
      <c r="I940" s="56"/>
      <c r="J940" s="56"/>
    </row>
    <row r="941">
      <c r="A941" s="55"/>
      <c r="B941" s="56"/>
      <c r="C941" s="56"/>
      <c r="D941" s="56"/>
      <c r="E941" s="56"/>
      <c r="F941" s="56"/>
      <c r="G941" s="56"/>
      <c r="H941" s="56"/>
      <c r="I941" s="56"/>
      <c r="J941" s="56"/>
    </row>
    <row r="942">
      <c r="A942" s="55"/>
      <c r="B942" s="56"/>
      <c r="C942" s="56"/>
      <c r="D942" s="56"/>
      <c r="E942" s="56"/>
      <c r="F942" s="56"/>
      <c r="G942" s="56"/>
      <c r="H942" s="56"/>
      <c r="I942" s="56"/>
      <c r="J942" s="56"/>
    </row>
    <row r="943">
      <c r="A943" s="55"/>
      <c r="B943" s="56"/>
      <c r="C943" s="56"/>
      <c r="D943" s="56"/>
      <c r="E943" s="56"/>
      <c r="F943" s="56"/>
      <c r="G943" s="56"/>
      <c r="H943" s="56"/>
      <c r="I943" s="56"/>
      <c r="J943" s="56"/>
    </row>
    <row r="944">
      <c r="A944" s="55"/>
      <c r="B944" s="56"/>
      <c r="C944" s="56"/>
      <c r="D944" s="56"/>
      <c r="E944" s="56"/>
      <c r="F944" s="56"/>
      <c r="G944" s="56"/>
      <c r="H944" s="56"/>
      <c r="I944" s="56"/>
      <c r="J944" s="56"/>
    </row>
    <row r="945">
      <c r="A945" s="55"/>
      <c r="B945" s="56"/>
      <c r="C945" s="56"/>
      <c r="D945" s="56"/>
      <c r="E945" s="56"/>
      <c r="F945" s="56"/>
      <c r="G945" s="56"/>
      <c r="H945" s="56"/>
      <c r="I945" s="56"/>
      <c r="J945" s="56"/>
    </row>
    <row r="946">
      <c r="A946" s="55"/>
      <c r="B946" s="56"/>
      <c r="C946" s="56"/>
      <c r="D946" s="56"/>
      <c r="E946" s="56"/>
      <c r="F946" s="56"/>
      <c r="G946" s="56"/>
      <c r="H946" s="56"/>
      <c r="I946" s="56"/>
      <c r="J946" s="56"/>
    </row>
    <row r="947">
      <c r="A947" s="55"/>
      <c r="B947" s="56"/>
      <c r="C947" s="56"/>
      <c r="D947" s="56"/>
      <c r="E947" s="56"/>
      <c r="F947" s="56"/>
      <c r="G947" s="56"/>
      <c r="H947" s="56"/>
      <c r="I947" s="56"/>
      <c r="J947" s="56"/>
    </row>
    <row r="948">
      <c r="A948" s="55"/>
      <c r="B948" s="56"/>
      <c r="C948" s="56"/>
      <c r="D948" s="56"/>
      <c r="E948" s="56"/>
      <c r="F948" s="56"/>
      <c r="G948" s="56"/>
      <c r="H948" s="56"/>
      <c r="I948" s="56"/>
      <c r="J948" s="56"/>
    </row>
    <row r="949">
      <c r="A949" s="55"/>
      <c r="B949" s="56"/>
      <c r="C949" s="56"/>
      <c r="D949" s="56"/>
      <c r="E949" s="56"/>
      <c r="F949" s="56"/>
      <c r="G949" s="56"/>
      <c r="H949" s="56"/>
      <c r="I949" s="56"/>
      <c r="J949" s="56"/>
    </row>
    <row r="950">
      <c r="A950" s="55"/>
      <c r="B950" s="56"/>
      <c r="C950" s="56"/>
      <c r="D950" s="56"/>
      <c r="E950" s="56"/>
      <c r="F950" s="56"/>
      <c r="G950" s="56"/>
      <c r="H950" s="56"/>
      <c r="I950" s="56"/>
      <c r="J950" s="56"/>
    </row>
    <row r="951">
      <c r="A951" s="55"/>
      <c r="B951" s="56"/>
      <c r="C951" s="56"/>
      <c r="D951" s="56"/>
      <c r="E951" s="56"/>
      <c r="F951" s="56"/>
      <c r="G951" s="56"/>
      <c r="H951" s="56"/>
      <c r="I951" s="56"/>
      <c r="J951" s="56"/>
    </row>
    <row r="952">
      <c r="A952" s="55"/>
      <c r="B952" s="56"/>
      <c r="C952" s="56"/>
      <c r="D952" s="56"/>
      <c r="E952" s="56"/>
      <c r="F952" s="56"/>
      <c r="G952" s="56"/>
      <c r="H952" s="56"/>
      <c r="I952" s="56"/>
      <c r="J952" s="56"/>
    </row>
    <row r="953">
      <c r="A953" s="55"/>
      <c r="B953" s="56"/>
      <c r="C953" s="56"/>
      <c r="D953" s="56"/>
      <c r="E953" s="56"/>
      <c r="F953" s="56"/>
      <c r="G953" s="56"/>
      <c r="H953" s="56"/>
      <c r="I953" s="56"/>
      <c r="J953" s="56"/>
    </row>
    <row r="954">
      <c r="A954" s="55"/>
      <c r="B954" s="56"/>
      <c r="C954" s="56"/>
      <c r="D954" s="56"/>
      <c r="E954" s="56"/>
      <c r="F954" s="56"/>
      <c r="G954" s="56"/>
      <c r="H954" s="56"/>
      <c r="I954" s="56"/>
      <c r="J954" s="56"/>
    </row>
    <row r="955">
      <c r="A955" s="55"/>
      <c r="B955" s="56"/>
      <c r="C955" s="56"/>
      <c r="D955" s="56"/>
      <c r="E955" s="56"/>
      <c r="F955" s="56"/>
      <c r="G955" s="56"/>
      <c r="H955" s="56"/>
      <c r="I955" s="56"/>
      <c r="J955" s="56"/>
    </row>
    <row r="956">
      <c r="A956" s="55"/>
      <c r="B956" s="56"/>
      <c r="C956" s="56"/>
      <c r="D956" s="56"/>
      <c r="E956" s="56"/>
      <c r="F956" s="56"/>
      <c r="G956" s="56"/>
      <c r="H956" s="56"/>
      <c r="I956" s="56"/>
      <c r="J956" s="56"/>
    </row>
    <row r="957">
      <c r="A957" s="55"/>
      <c r="B957" s="56"/>
      <c r="C957" s="56"/>
      <c r="D957" s="56"/>
      <c r="E957" s="56"/>
      <c r="F957" s="56"/>
      <c r="G957" s="56"/>
      <c r="H957" s="56"/>
      <c r="I957" s="56"/>
      <c r="J957" s="56"/>
    </row>
    <row r="958">
      <c r="A958" s="55"/>
      <c r="B958" s="56"/>
      <c r="C958" s="56"/>
      <c r="D958" s="56"/>
      <c r="E958" s="56"/>
      <c r="F958" s="56"/>
      <c r="G958" s="56"/>
      <c r="H958" s="56"/>
      <c r="I958" s="56"/>
      <c r="J958" s="56"/>
    </row>
    <row r="959">
      <c r="A959" s="55"/>
      <c r="B959" s="56"/>
      <c r="C959" s="56"/>
      <c r="D959" s="56"/>
      <c r="E959" s="56"/>
      <c r="F959" s="56"/>
      <c r="G959" s="56"/>
      <c r="H959" s="56"/>
      <c r="I959" s="56"/>
      <c r="J959" s="56"/>
    </row>
    <row r="960">
      <c r="A960" s="55"/>
      <c r="B960" s="56"/>
      <c r="C960" s="56"/>
      <c r="D960" s="56"/>
      <c r="E960" s="56"/>
      <c r="F960" s="56"/>
      <c r="G960" s="56"/>
      <c r="H960" s="56"/>
      <c r="I960" s="56"/>
      <c r="J960" s="56"/>
    </row>
    <row r="961">
      <c r="A961" s="55"/>
      <c r="B961" s="56"/>
      <c r="C961" s="56"/>
      <c r="D961" s="56"/>
      <c r="E961" s="56"/>
      <c r="F961" s="56"/>
      <c r="G961" s="56"/>
      <c r="H961" s="56"/>
      <c r="I961" s="56"/>
      <c r="J961" s="56"/>
    </row>
    <row r="962">
      <c r="A962" s="55"/>
      <c r="B962" s="56"/>
      <c r="C962" s="56"/>
      <c r="D962" s="56"/>
      <c r="E962" s="56"/>
      <c r="F962" s="56"/>
      <c r="G962" s="56"/>
      <c r="H962" s="56"/>
      <c r="I962" s="56"/>
      <c r="J962" s="56"/>
    </row>
    <row r="963">
      <c r="A963" s="55"/>
      <c r="B963" s="56"/>
      <c r="C963" s="56"/>
      <c r="D963" s="56"/>
      <c r="E963" s="56"/>
      <c r="F963" s="56"/>
      <c r="G963" s="56"/>
      <c r="H963" s="56"/>
      <c r="I963" s="56"/>
      <c r="J963" s="56"/>
    </row>
    <row r="964">
      <c r="A964" s="55"/>
      <c r="B964" s="56"/>
      <c r="C964" s="56"/>
      <c r="D964" s="56"/>
      <c r="E964" s="56"/>
      <c r="F964" s="56"/>
      <c r="G964" s="56"/>
      <c r="H964" s="56"/>
      <c r="I964" s="56"/>
      <c r="J964" s="56"/>
    </row>
    <row r="965">
      <c r="A965" s="55"/>
      <c r="B965" s="56"/>
      <c r="C965" s="56"/>
      <c r="D965" s="56"/>
      <c r="E965" s="56"/>
      <c r="F965" s="56"/>
      <c r="G965" s="56"/>
      <c r="H965" s="56"/>
      <c r="I965" s="56"/>
      <c r="J965" s="56"/>
    </row>
    <row r="966">
      <c r="A966" s="55"/>
      <c r="B966" s="56"/>
      <c r="C966" s="56"/>
      <c r="D966" s="56"/>
      <c r="E966" s="56"/>
      <c r="F966" s="56"/>
      <c r="G966" s="56"/>
      <c r="H966" s="56"/>
      <c r="I966" s="56"/>
      <c r="J966" s="56"/>
    </row>
    <row r="967">
      <c r="A967" s="55"/>
      <c r="B967" s="56"/>
      <c r="C967" s="56"/>
      <c r="D967" s="56"/>
      <c r="E967" s="56"/>
      <c r="F967" s="56"/>
      <c r="G967" s="56"/>
      <c r="H967" s="56"/>
      <c r="I967" s="56"/>
      <c r="J967" s="56"/>
    </row>
    <row r="968">
      <c r="A968" s="55"/>
      <c r="B968" s="56"/>
      <c r="C968" s="56"/>
      <c r="D968" s="56"/>
      <c r="E968" s="56"/>
      <c r="F968" s="56"/>
      <c r="G968" s="56"/>
      <c r="H968" s="56"/>
      <c r="I968" s="56"/>
      <c r="J968" s="56"/>
    </row>
    <row r="969">
      <c r="A969" s="55"/>
      <c r="B969" s="56"/>
      <c r="C969" s="56"/>
      <c r="D969" s="56"/>
      <c r="E969" s="56"/>
      <c r="F969" s="56"/>
      <c r="G969" s="56"/>
      <c r="H969" s="56"/>
      <c r="I969" s="56"/>
      <c r="J969" s="56"/>
    </row>
    <row r="970">
      <c r="A970" s="55"/>
      <c r="B970" s="56"/>
      <c r="C970" s="56"/>
      <c r="D970" s="56"/>
      <c r="E970" s="56"/>
      <c r="F970" s="56"/>
      <c r="G970" s="56"/>
      <c r="H970" s="56"/>
      <c r="I970" s="56"/>
      <c r="J970" s="56"/>
    </row>
    <row r="971">
      <c r="A971" s="55"/>
      <c r="B971" s="56"/>
      <c r="C971" s="56"/>
      <c r="D971" s="56"/>
      <c r="E971" s="56"/>
      <c r="F971" s="56"/>
      <c r="G971" s="56"/>
      <c r="H971" s="56"/>
      <c r="I971" s="56"/>
      <c r="J971" s="56"/>
    </row>
    <row r="972">
      <c r="A972" s="55"/>
      <c r="B972" s="56"/>
      <c r="C972" s="56"/>
      <c r="D972" s="56"/>
      <c r="E972" s="56"/>
      <c r="F972" s="56"/>
      <c r="G972" s="56"/>
      <c r="H972" s="56"/>
      <c r="I972" s="56"/>
      <c r="J972" s="56"/>
    </row>
    <row r="973">
      <c r="A973" s="55"/>
      <c r="B973" s="56"/>
      <c r="C973" s="56"/>
      <c r="D973" s="56"/>
      <c r="E973" s="56"/>
      <c r="F973" s="56"/>
      <c r="G973" s="56"/>
      <c r="H973" s="56"/>
      <c r="I973" s="56"/>
      <c r="J973" s="56"/>
    </row>
    <row r="974">
      <c r="A974" s="55"/>
      <c r="B974" s="56"/>
      <c r="C974" s="56"/>
      <c r="D974" s="56"/>
      <c r="E974" s="56"/>
      <c r="F974" s="56"/>
      <c r="G974" s="56"/>
      <c r="H974" s="56"/>
      <c r="I974" s="56"/>
      <c r="J974" s="56"/>
    </row>
    <row r="975">
      <c r="A975" s="55"/>
      <c r="B975" s="56"/>
      <c r="C975" s="56"/>
      <c r="D975" s="56"/>
      <c r="E975" s="56"/>
      <c r="F975" s="56"/>
      <c r="G975" s="56"/>
      <c r="H975" s="56"/>
      <c r="I975" s="56"/>
      <c r="J975" s="56"/>
    </row>
    <row r="976">
      <c r="A976" s="55"/>
      <c r="B976" s="56"/>
      <c r="C976" s="56"/>
      <c r="D976" s="56"/>
      <c r="E976" s="56"/>
      <c r="F976" s="56"/>
      <c r="G976" s="56"/>
      <c r="H976" s="56"/>
      <c r="I976" s="56"/>
      <c r="J976" s="56"/>
    </row>
    <row r="977">
      <c r="A977" s="55"/>
      <c r="B977" s="56"/>
      <c r="C977" s="56"/>
      <c r="D977" s="56"/>
      <c r="E977" s="56"/>
      <c r="F977" s="56"/>
      <c r="G977" s="56"/>
      <c r="H977" s="56"/>
      <c r="I977" s="56"/>
      <c r="J977" s="56"/>
    </row>
    <row r="978">
      <c r="A978" s="55"/>
      <c r="B978" s="56"/>
      <c r="C978" s="56"/>
      <c r="D978" s="56"/>
      <c r="E978" s="56"/>
      <c r="F978" s="56"/>
      <c r="G978" s="56"/>
      <c r="H978" s="56"/>
      <c r="I978" s="56"/>
      <c r="J978" s="56"/>
    </row>
    <row r="979">
      <c r="A979" s="55"/>
      <c r="B979" s="56"/>
      <c r="C979" s="56"/>
      <c r="D979" s="56"/>
      <c r="E979" s="56"/>
      <c r="F979" s="56"/>
      <c r="G979" s="56"/>
      <c r="H979" s="56"/>
      <c r="I979" s="56"/>
      <c r="J979" s="56"/>
    </row>
    <row r="980">
      <c r="A980" s="55"/>
      <c r="B980" s="56"/>
      <c r="C980" s="56"/>
      <c r="D980" s="56"/>
      <c r="E980" s="56"/>
      <c r="F980" s="56"/>
      <c r="G980" s="56"/>
      <c r="H980" s="56"/>
      <c r="I980" s="56"/>
      <c r="J980" s="56"/>
    </row>
    <row r="981">
      <c r="A981" s="55"/>
      <c r="B981" s="56"/>
      <c r="C981" s="56"/>
      <c r="D981" s="56"/>
      <c r="E981" s="56"/>
      <c r="F981" s="56"/>
      <c r="G981" s="56"/>
      <c r="H981" s="56"/>
      <c r="I981" s="56"/>
      <c r="J981" s="56"/>
    </row>
    <row r="982">
      <c r="A982" s="55"/>
      <c r="B982" s="56"/>
      <c r="C982" s="56"/>
      <c r="D982" s="56"/>
      <c r="E982" s="56"/>
      <c r="F982" s="56"/>
      <c r="G982" s="56"/>
      <c r="H982" s="56"/>
      <c r="I982" s="56"/>
      <c r="J982" s="56"/>
    </row>
    <row r="983">
      <c r="A983" s="55"/>
      <c r="B983" s="56"/>
      <c r="C983" s="56"/>
      <c r="D983" s="56"/>
      <c r="E983" s="56"/>
      <c r="F983" s="56"/>
      <c r="G983" s="56"/>
      <c r="H983" s="56"/>
      <c r="I983" s="56"/>
      <c r="J983" s="56"/>
    </row>
    <row r="984">
      <c r="A984" s="55"/>
      <c r="B984" s="56"/>
      <c r="C984" s="56"/>
      <c r="D984" s="56"/>
      <c r="E984" s="56"/>
      <c r="F984" s="56"/>
      <c r="G984" s="56"/>
      <c r="H984" s="56"/>
      <c r="I984" s="56"/>
      <c r="J984" s="56"/>
    </row>
    <row r="985">
      <c r="A985" s="55"/>
      <c r="B985" s="56"/>
      <c r="C985" s="56"/>
      <c r="D985" s="56"/>
      <c r="E985" s="56"/>
      <c r="F985" s="56"/>
      <c r="G985" s="56"/>
      <c r="H985" s="56"/>
      <c r="I985" s="56"/>
      <c r="J985" s="56"/>
    </row>
    <row r="986">
      <c r="A986" s="55"/>
      <c r="B986" s="56"/>
      <c r="C986" s="56"/>
      <c r="D986" s="56"/>
      <c r="E986" s="56"/>
      <c r="F986" s="56"/>
      <c r="G986" s="56"/>
      <c r="H986" s="56"/>
      <c r="I986" s="56"/>
      <c r="J986" s="56"/>
    </row>
    <row r="987">
      <c r="A987" s="55"/>
      <c r="B987" s="56"/>
      <c r="C987" s="56"/>
      <c r="D987" s="56"/>
      <c r="E987" s="56"/>
      <c r="F987" s="56"/>
      <c r="G987" s="56"/>
      <c r="H987" s="56"/>
      <c r="I987" s="56"/>
      <c r="J987" s="56"/>
    </row>
    <row r="988">
      <c r="A988" s="55"/>
      <c r="B988" s="56"/>
      <c r="C988" s="56"/>
      <c r="D988" s="56"/>
      <c r="E988" s="56"/>
      <c r="F988" s="56"/>
      <c r="G988" s="56"/>
      <c r="H988" s="56"/>
      <c r="I988" s="56"/>
      <c r="J988" s="56"/>
    </row>
    <row r="989">
      <c r="A989" s="55"/>
      <c r="B989" s="56"/>
      <c r="C989" s="56"/>
      <c r="D989" s="56"/>
      <c r="E989" s="56"/>
      <c r="F989" s="56"/>
      <c r="G989" s="56"/>
      <c r="H989" s="56"/>
      <c r="I989" s="56"/>
      <c r="J989" s="56"/>
    </row>
    <row r="990">
      <c r="A990" s="55"/>
      <c r="B990" s="56"/>
      <c r="C990" s="56"/>
      <c r="D990" s="56"/>
      <c r="E990" s="56"/>
      <c r="F990" s="56"/>
      <c r="G990" s="56"/>
      <c r="H990" s="56"/>
      <c r="I990" s="56"/>
      <c r="J990" s="56"/>
    </row>
    <row r="991">
      <c r="A991" s="55"/>
      <c r="B991" s="56"/>
      <c r="C991" s="56"/>
      <c r="D991" s="56"/>
      <c r="E991" s="56"/>
      <c r="F991" s="56"/>
      <c r="G991" s="56"/>
      <c r="H991" s="56"/>
      <c r="I991" s="56"/>
      <c r="J991" s="56"/>
    </row>
    <row r="992">
      <c r="A992" s="55"/>
      <c r="B992" s="56"/>
      <c r="C992" s="56"/>
      <c r="D992" s="56"/>
      <c r="E992" s="56"/>
      <c r="F992" s="56"/>
      <c r="G992" s="56"/>
      <c r="H992" s="56"/>
      <c r="I992" s="56"/>
      <c r="J992" s="56"/>
    </row>
    <row r="993">
      <c r="A993" s="55"/>
      <c r="B993" s="56"/>
      <c r="C993" s="56"/>
      <c r="D993" s="56"/>
      <c r="E993" s="56"/>
      <c r="F993" s="56"/>
      <c r="G993" s="56"/>
      <c r="H993" s="56"/>
      <c r="I993" s="56"/>
      <c r="J993" s="56"/>
    </row>
    <row r="994">
      <c r="A994" s="55"/>
      <c r="B994" s="56"/>
      <c r="C994" s="56"/>
      <c r="D994" s="56"/>
      <c r="E994" s="56"/>
      <c r="F994" s="56"/>
      <c r="G994" s="56"/>
      <c r="H994" s="56"/>
      <c r="I994" s="56"/>
      <c r="J994" s="56"/>
    </row>
    <row r="995">
      <c r="A995" s="55"/>
      <c r="B995" s="56"/>
      <c r="C995" s="56"/>
      <c r="D995" s="56"/>
      <c r="E995" s="56"/>
      <c r="F995" s="56"/>
      <c r="G995" s="56"/>
      <c r="H995" s="56"/>
      <c r="I995" s="56"/>
      <c r="J995" s="56"/>
    </row>
    <row r="996">
      <c r="A996" s="55"/>
      <c r="B996" s="56"/>
      <c r="C996" s="56"/>
      <c r="D996" s="56"/>
      <c r="E996" s="56"/>
      <c r="F996" s="56"/>
      <c r="G996" s="56"/>
      <c r="H996" s="56"/>
      <c r="I996" s="56"/>
      <c r="J996" s="56"/>
    </row>
    <row r="997">
      <c r="A997" s="55"/>
      <c r="B997" s="56"/>
      <c r="C997" s="56"/>
      <c r="D997" s="56"/>
      <c r="E997" s="56"/>
      <c r="F997" s="56"/>
      <c r="G997" s="56"/>
      <c r="H997" s="56"/>
      <c r="I997" s="56"/>
      <c r="J997" s="56"/>
    </row>
    <row r="998">
      <c r="A998" s="55"/>
      <c r="B998" s="56"/>
      <c r="C998" s="56"/>
      <c r="D998" s="56"/>
      <c r="E998" s="56"/>
      <c r="F998" s="56"/>
      <c r="G998" s="56"/>
      <c r="H998" s="56"/>
      <c r="I998" s="56"/>
      <c r="J998" s="56"/>
    </row>
    <row r="999">
      <c r="A999" s="55"/>
      <c r="B999" s="56"/>
      <c r="C999" s="56"/>
      <c r="D999" s="56"/>
      <c r="E999" s="56"/>
      <c r="F999" s="56"/>
      <c r="G999" s="56"/>
      <c r="H999" s="56"/>
      <c r="I999" s="56"/>
      <c r="J999" s="56"/>
    </row>
    <row r="1000">
      <c r="A1000" s="55"/>
      <c r="B1000" s="56"/>
      <c r="C1000" s="56"/>
      <c r="D1000" s="56"/>
      <c r="E1000" s="56"/>
      <c r="F1000" s="56"/>
      <c r="G1000" s="56"/>
      <c r="H1000" s="56"/>
      <c r="I1000" s="56"/>
      <c r="J1000" s="5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8.63"/>
    <col customWidth="1" min="3" max="9" width="28.0"/>
  </cols>
  <sheetData>
    <row r="1">
      <c r="A1" s="51" t="s">
        <v>0</v>
      </c>
      <c r="B1" s="51" t="s">
        <v>1</v>
      </c>
      <c r="C1" s="58" t="s">
        <v>2185</v>
      </c>
      <c r="D1" s="58" t="s">
        <v>2186</v>
      </c>
      <c r="E1" s="58" t="s">
        <v>2187</v>
      </c>
      <c r="F1" s="58" t="s">
        <v>2188</v>
      </c>
      <c r="G1" s="58" t="s">
        <v>3373</v>
      </c>
      <c r="H1" s="58" t="s">
        <v>2190</v>
      </c>
      <c r="I1" s="58" t="s">
        <v>2191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tr">
        <f t="shared" ref="A2:A177" si="1">TEXT(ROW(A1),"000")
</f>
        <v>001</v>
      </c>
      <c r="B2" s="60" t="s">
        <v>28</v>
      </c>
      <c r="C2" s="61" t="s">
        <v>3374</v>
      </c>
      <c r="D2" s="61" t="s">
        <v>3375</v>
      </c>
      <c r="E2" s="61" t="s">
        <v>3376</v>
      </c>
      <c r="F2" s="61" t="s">
        <v>3377</v>
      </c>
      <c r="G2" s="61" t="s">
        <v>3378</v>
      </c>
      <c r="H2" s="61" t="s">
        <v>3379</v>
      </c>
      <c r="I2" s="61" t="s">
        <v>3380</v>
      </c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0" t="str">
        <f t="shared" si="1"/>
        <v>002</v>
      </c>
      <c r="B3" s="60" t="s">
        <v>53</v>
      </c>
      <c r="C3" s="61" t="s">
        <v>3381</v>
      </c>
      <c r="D3" s="61" t="s">
        <v>3375</v>
      </c>
      <c r="E3" s="61" t="s">
        <v>3376</v>
      </c>
      <c r="F3" s="61" t="s">
        <v>3377</v>
      </c>
      <c r="G3" s="61" t="s">
        <v>3378</v>
      </c>
      <c r="H3" s="61" t="s">
        <v>3379</v>
      </c>
      <c r="I3" s="61" t="s">
        <v>3380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0" t="str">
        <f t="shared" si="1"/>
        <v>003</v>
      </c>
      <c r="B4" s="60" t="s">
        <v>63</v>
      </c>
      <c r="C4" s="61" t="s">
        <v>3382</v>
      </c>
      <c r="D4" s="61" t="s">
        <v>3375</v>
      </c>
      <c r="E4" s="61" t="s">
        <v>3376</v>
      </c>
      <c r="F4" s="61" t="s">
        <v>3377</v>
      </c>
      <c r="G4" s="61" t="s">
        <v>3378</v>
      </c>
      <c r="H4" s="61" t="s">
        <v>3379</v>
      </c>
      <c r="I4" s="61" t="s">
        <v>3380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60" t="str">
        <f t="shared" si="1"/>
        <v>004</v>
      </c>
      <c r="B5" s="60" t="s">
        <v>72</v>
      </c>
      <c r="C5" s="61" t="s">
        <v>3383</v>
      </c>
      <c r="D5" s="61" t="s">
        <v>3375</v>
      </c>
      <c r="E5" s="61" t="s">
        <v>3376</v>
      </c>
      <c r="F5" s="61" t="s">
        <v>3377</v>
      </c>
      <c r="G5" s="61" t="s">
        <v>3378</v>
      </c>
      <c r="H5" s="61" t="s">
        <v>3379</v>
      </c>
      <c r="I5" s="61" t="s">
        <v>3380</v>
      </c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60" t="str">
        <f t="shared" si="1"/>
        <v>005</v>
      </c>
      <c r="B6" s="60" t="s">
        <v>80</v>
      </c>
      <c r="C6" s="61" t="s">
        <v>3384</v>
      </c>
      <c r="D6" s="61" t="s">
        <v>3375</v>
      </c>
      <c r="E6" s="61" t="s">
        <v>3376</v>
      </c>
      <c r="F6" s="61" t="s">
        <v>3377</v>
      </c>
      <c r="G6" s="61" t="s">
        <v>3378</v>
      </c>
      <c r="H6" s="61" t="s">
        <v>3379</v>
      </c>
      <c r="I6" s="61" t="s">
        <v>3380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60" t="str">
        <f t="shared" si="1"/>
        <v>006</v>
      </c>
      <c r="B7" s="60" t="s">
        <v>89</v>
      </c>
      <c r="C7" s="61" t="s">
        <v>3385</v>
      </c>
      <c r="D7" s="61" t="s">
        <v>3375</v>
      </c>
      <c r="E7" s="61" t="s">
        <v>3376</v>
      </c>
      <c r="F7" s="61" t="s">
        <v>3377</v>
      </c>
      <c r="G7" s="61" t="s">
        <v>3378</v>
      </c>
      <c r="H7" s="61" t="s">
        <v>3379</v>
      </c>
      <c r="I7" s="61" t="s">
        <v>3380</v>
      </c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60" t="str">
        <f t="shared" si="1"/>
        <v>007</v>
      </c>
      <c r="B8" s="60" t="s">
        <v>93</v>
      </c>
      <c r="C8" s="61" t="s">
        <v>3386</v>
      </c>
      <c r="D8" s="61" t="s">
        <v>3375</v>
      </c>
      <c r="E8" s="61" t="s">
        <v>3376</v>
      </c>
      <c r="F8" s="61" t="s">
        <v>3377</v>
      </c>
      <c r="G8" s="61" t="s">
        <v>3378</v>
      </c>
      <c r="H8" s="61" t="s">
        <v>3379</v>
      </c>
      <c r="I8" s="61" t="s">
        <v>3380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60" t="str">
        <f t="shared" si="1"/>
        <v>008</v>
      </c>
      <c r="B9" s="60" t="s">
        <v>96</v>
      </c>
      <c r="C9" s="61" t="s">
        <v>3387</v>
      </c>
      <c r="D9" s="61" t="s">
        <v>3375</v>
      </c>
      <c r="E9" s="61" t="s">
        <v>3376</v>
      </c>
      <c r="F9" s="61" t="s">
        <v>3377</v>
      </c>
      <c r="G9" s="61" t="s">
        <v>3378</v>
      </c>
      <c r="H9" s="61" t="s">
        <v>3379</v>
      </c>
      <c r="I9" s="61" t="s">
        <v>3380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60" t="str">
        <f t="shared" si="1"/>
        <v>009</v>
      </c>
      <c r="B10" s="60" t="s">
        <v>100</v>
      </c>
      <c r="C10" s="61" t="s">
        <v>3388</v>
      </c>
      <c r="D10" s="61" t="s">
        <v>3375</v>
      </c>
      <c r="E10" s="61" t="s">
        <v>3376</v>
      </c>
      <c r="F10" s="61" t="s">
        <v>3377</v>
      </c>
      <c r="G10" s="61" t="s">
        <v>3378</v>
      </c>
      <c r="H10" s="61" t="s">
        <v>3379</v>
      </c>
      <c r="I10" s="61" t="s">
        <v>3380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60" t="str">
        <f t="shared" si="1"/>
        <v>010</v>
      </c>
      <c r="B11" s="60" t="s">
        <v>102</v>
      </c>
      <c r="C11" s="61" t="s">
        <v>3389</v>
      </c>
      <c r="D11" s="61" t="s">
        <v>3375</v>
      </c>
      <c r="E11" s="61" t="s">
        <v>3376</v>
      </c>
      <c r="F11" s="61" t="s">
        <v>3377</v>
      </c>
      <c r="G11" s="61" t="s">
        <v>3378</v>
      </c>
      <c r="H11" s="61" t="s">
        <v>3379</v>
      </c>
      <c r="I11" s="61" t="s">
        <v>3380</v>
      </c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60" t="str">
        <f t="shared" si="1"/>
        <v>011</v>
      </c>
      <c r="B12" s="60" t="s">
        <v>106</v>
      </c>
      <c r="C12" s="61" t="s">
        <v>3390</v>
      </c>
      <c r="D12" s="61" t="s">
        <v>3375</v>
      </c>
      <c r="E12" s="61" t="s">
        <v>3376</v>
      </c>
      <c r="F12" s="61" t="s">
        <v>3377</v>
      </c>
      <c r="G12" s="61" t="s">
        <v>3378</v>
      </c>
      <c r="H12" s="61" t="s">
        <v>3379</v>
      </c>
      <c r="I12" s="61" t="s">
        <v>3380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0" t="str">
        <f t="shared" si="1"/>
        <v>012</v>
      </c>
      <c r="B13" s="60" t="s">
        <v>109</v>
      </c>
      <c r="C13" s="61" t="s">
        <v>3391</v>
      </c>
      <c r="D13" s="61" t="s">
        <v>3375</v>
      </c>
      <c r="E13" s="61" t="s">
        <v>3376</v>
      </c>
      <c r="F13" s="61" t="s">
        <v>3377</v>
      </c>
      <c r="G13" s="61" t="s">
        <v>3378</v>
      </c>
      <c r="H13" s="61" t="s">
        <v>3379</v>
      </c>
      <c r="I13" s="61" t="s">
        <v>3380</v>
      </c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0" t="str">
        <f t="shared" si="1"/>
        <v>013</v>
      </c>
      <c r="B14" s="60" t="s">
        <v>111</v>
      </c>
      <c r="C14" s="61" t="s">
        <v>3392</v>
      </c>
      <c r="D14" s="61" t="s">
        <v>3375</v>
      </c>
      <c r="E14" s="61" t="s">
        <v>3376</v>
      </c>
      <c r="F14" s="61" t="s">
        <v>3377</v>
      </c>
      <c r="G14" s="61" t="s">
        <v>3378</v>
      </c>
      <c r="H14" s="61" t="s">
        <v>3379</v>
      </c>
      <c r="I14" s="61" t="s">
        <v>3380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0" t="str">
        <f t="shared" si="1"/>
        <v>014</v>
      </c>
      <c r="B15" s="60" t="s">
        <v>113</v>
      </c>
      <c r="C15" s="61" t="s">
        <v>3393</v>
      </c>
      <c r="D15" s="61" t="s">
        <v>3375</v>
      </c>
      <c r="E15" s="61" t="s">
        <v>3376</v>
      </c>
      <c r="F15" s="61" t="s">
        <v>3377</v>
      </c>
      <c r="G15" s="61" t="s">
        <v>3378</v>
      </c>
      <c r="H15" s="61" t="s">
        <v>3379</v>
      </c>
      <c r="I15" s="61" t="s">
        <v>3380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0" t="str">
        <f t="shared" si="1"/>
        <v>015</v>
      </c>
      <c r="B16" s="60" t="s">
        <v>117</v>
      </c>
      <c r="C16" s="61" t="s">
        <v>3394</v>
      </c>
      <c r="D16" s="61" t="s">
        <v>3395</v>
      </c>
      <c r="E16" s="61" t="s">
        <v>3396</v>
      </c>
      <c r="F16" s="61" t="s">
        <v>3397</v>
      </c>
      <c r="G16" s="61" t="s">
        <v>3398</v>
      </c>
      <c r="H16" s="61" t="s">
        <v>3379</v>
      </c>
      <c r="I16" s="61" t="s">
        <v>3380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0" t="str">
        <f t="shared" si="1"/>
        <v>016</v>
      </c>
      <c r="B17" s="60" t="s">
        <v>128</v>
      </c>
      <c r="C17" s="61" t="s">
        <v>3399</v>
      </c>
      <c r="D17" s="61" t="s">
        <v>3395</v>
      </c>
      <c r="E17" s="61" t="s">
        <v>3396</v>
      </c>
      <c r="F17" s="61" t="s">
        <v>3397</v>
      </c>
      <c r="G17" s="61" t="s">
        <v>3398</v>
      </c>
      <c r="H17" s="61" t="s">
        <v>3379</v>
      </c>
      <c r="I17" s="61" t="s">
        <v>3380</v>
      </c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0" t="str">
        <f t="shared" si="1"/>
        <v>017</v>
      </c>
      <c r="B18" s="60" t="s">
        <v>134</v>
      </c>
      <c r="C18" s="61" t="s">
        <v>3400</v>
      </c>
      <c r="D18" s="61" t="s">
        <v>3395</v>
      </c>
      <c r="E18" s="61" t="s">
        <v>3396</v>
      </c>
      <c r="F18" s="61" t="s">
        <v>3397</v>
      </c>
      <c r="G18" s="61" t="s">
        <v>3398</v>
      </c>
      <c r="H18" s="61" t="s">
        <v>3379</v>
      </c>
      <c r="I18" s="61" t="s">
        <v>3380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0" t="str">
        <f t="shared" si="1"/>
        <v>018</v>
      </c>
      <c r="B19" s="60" t="s">
        <v>138</v>
      </c>
      <c r="C19" s="61" t="s">
        <v>3401</v>
      </c>
      <c r="D19" s="61" t="s">
        <v>3395</v>
      </c>
      <c r="E19" s="61" t="s">
        <v>3396</v>
      </c>
      <c r="F19" s="61" t="s">
        <v>3397</v>
      </c>
      <c r="G19" s="61" t="s">
        <v>3398</v>
      </c>
      <c r="H19" s="61" t="s">
        <v>3379</v>
      </c>
      <c r="I19" s="61" t="s">
        <v>3380</v>
      </c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0" t="str">
        <f t="shared" si="1"/>
        <v>019</v>
      </c>
      <c r="B20" s="60" t="s">
        <v>140</v>
      </c>
      <c r="C20" s="61" t="s">
        <v>3402</v>
      </c>
      <c r="D20" s="61" t="s">
        <v>3395</v>
      </c>
      <c r="E20" s="61" t="s">
        <v>3396</v>
      </c>
      <c r="F20" s="61" t="s">
        <v>3397</v>
      </c>
      <c r="G20" s="61" t="s">
        <v>3398</v>
      </c>
      <c r="H20" s="61" t="s">
        <v>3379</v>
      </c>
      <c r="I20" s="61" t="s">
        <v>3380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0" t="str">
        <f t="shared" si="1"/>
        <v>020</v>
      </c>
      <c r="B21" s="60" t="s">
        <v>145</v>
      </c>
      <c r="C21" s="61" t="s">
        <v>3403</v>
      </c>
      <c r="D21" s="61" t="s">
        <v>3395</v>
      </c>
      <c r="E21" s="61" t="s">
        <v>3396</v>
      </c>
      <c r="F21" s="61" t="s">
        <v>3397</v>
      </c>
      <c r="G21" s="61" t="s">
        <v>3398</v>
      </c>
      <c r="H21" s="61" t="s">
        <v>3379</v>
      </c>
      <c r="I21" s="61" t="s">
        <v>3380</v>
      </c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0" t="str">
        <f t="shared" si="1"/>
        <v>021</v>
      </c>
      <c r="B22" s="60" t="s">
        <v>148</v>
      </c>
      <c r="C22" s="61" t="s">
        <v>3404</v>
      </c>
      <c r="D22" s="61" t="s">
        <v>3395</v>
      </c>
      <c r="E22" s="61" t="s">
        <v>3396</v>
      </c>
      <c r="F22" s="61" t="s">
        <v>3397</v>
      </c>
      <c r="G22" s="61" t="s">
        <v>3398</v>
      </c>
      <c r="H22" s="61" t="s">
        <v>3379</v>
      </c>
      <c r="I22" s="61" t="s">
        <v>3380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0" t="str">
        <f t="shared" si="1"/>
        <v>022</v>
      </c>
      <c r="B23" s="60" t="s">
        <v>150</v>
      </c>
      <c r="C23" s="61" t="s">
        <v>3405</v>
      </c>
      <c r="D23" s="61" t="s">
        <v>3395</v>
      </c>
      <c r="E23" s="61" t="s">
        <v>3396</v>
      </c>
      <c r="F23" s="61" t="s">
        <v>3397</v>
      </c>
      <c r="G23" s="61" t="s">
        <v>3398</v>
      </c>
      <c r="H23" s="61" t="s">
        <v>3379</v>
      </c>
      <c r="I23" s="61" t="s">
        <v>3380</v>
      </c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0" t="str">
        <f t="shared" si="1"/>
        <v>023</v>
      </c>
      <c r="B24" s="60" t="s">
        <v>152</v>
      </c>
      <c r="C24" s="61" t="s">
        <v>3406</v>
      </c>
      <c r="D24" s="61" t="s">
        <v>3395</v>
      </c>
      <c r="E24" s="61" t="s">
        <v>3396</v>
      </c>
      <c r="F24" s="61" t="s">
        <v>3397</v>
      </c>
      <c r="G24" s="61" t="s">
        <v>3398</v>
      </c>
      <c r="H24" s="61" t="s">
        <v>3379</v>
      </c>
      <c r="I24" s="61" t="s">
        <v>3380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60" t="str">
        <f t="shared" si="1"/>
        <v>024</v>
      </c>
      <c r="B25" s="60" t="s">
        <v>155</v>
      </c>
      <c r="C25" s="61" t="s">
        <v>3407</v>
      </c>
      <c r="D25" s="61" t="s">
        <v>3395</v>
      </c>
      <c r="E25" s="61" t="s">
        <v>3396</v>
      </c>
      <c r="F25" s="61" t="s">
        <v>3397</v>
      </c>
      <c r="G25" s="61" t="s">
        <v>3398</v>
      </c>
      <c r="H25" s="61" t="s">
        <v>3379</v>
      </c>
      <c r="I25" s="61" t="s">
        <v>3380</v>
      </c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0" t="str">
        <f t="shared" si="1"/>
        <v>025</v>
      </c>
      <c r="B26" s="60" t="s">
        <v>158</v>
      </c>
      <c r="C26" s="61" t="s">
        <v>3408</v>
      </c>
      <c r="D26" s="61" t="s">
        <v>3395</v>
      </c>
      <c r="E26" s="61" t="s">
        <v>3396</v>
      </c>
      <c r="F26" s="61" t="s">
        <v>3397</v>
      </c>
      <c r="G26" s="61" t="s">
        <v>3398</v>
      </c>
      <c r="H26" s="61" t="s">
        <v>3379</v>
      </c>
      <c r="I26" s="61" t="s">
        <v>3380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0" t="str">
        <f t="shared" si="1"/>
        <v>026</v>
      </c>
      <c r="B27" s="60" t="s">
        <v>160</v>
      </c>
      <c r="C27" s="61" t="s">
        <v>3409</v>
      </c>
      <c r="D27" s="61" t="s">
        <v>3395</v>
      </c>
      <c r="E27" s="61" t="s">
        <v>3396</v>
      </c>
      <c r="F27" s="61" t="s">
        <v>3397</v>
      </c>
      <c r="G27" s="61" t="s">
        <v>3398</v>
      </c>
      <c r="H27" s="61" t="s">
        <v>3379</v>
      </c>
      <c r="I27" s="61" t="s">
        <v>3380</v>
      </c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0" t="str">
        <f t="shared" si="1"/>
        <v>027</v>
      </c>
      <c r="B28" s="60" t="s">
        <v>162</v>
      </c>
      <c r="C28" s="61" t="s">
        <v>3410</v>
      </c>
      <c r="D28" s="61" t="s">
        <v>3411</v>
      </c>
      <c r="E28" s="61" t="s">
        <v>3412</v>
      </c>
      <c r="F28" s="61" t="s">
        <v>3413</v>
      </c>
      <c r="G28" s="61" t="s">
        <v>3414</v>
      </c>
      <c r="H28" s="61" t="s">
        <v>3379</v>
      </c>
      <c r="I28" s="61" t="s">
        <v>3380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0" t="str">
        <f t="shared" si="1"/>
        <v>028</v>
      </c>
      <c r="B29" s="60" t="s">
        <v>175</v>
      </c>
      <c r="C29" s="61" t="s">
        <v>3415</v>
      </c>
      <c r="D29" s="61" t="s">
        <v>3411</v>
      </c>
      <c r="E29" s="61" t="s">
        <v>3412</v>
      </c>
      <c r="F29" s="61" t="s">
        <v>3413</v>
      </c>
      <c r="G29" s="61" t="s">
        <v>3414</v>
      </c>
      <c r="H29" s="61" t="s">
        <v>3379</v>
      </c>
      <c r="I29" s="61" t="s">
        <v>3380</v>
      </c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0" t="str">
        <f t="shared" si="1"/>
        <v>029</v>
      </c>
      <c r="B30" s="60" t="s">
        <v>181</v>
      </c>
      <c r="C30" s="61" t="s">
        <v>3416</v>
      </c>
      <c r="D30" s="61" t="s">
        <v>3395</v>
      </c>
      <c r="E30" s="61" t="s">
        <v>3396</v>
      </c>
      <c r="F30" s="61" t="s">
        <v>3397</v>
      </c>
      <c r="G30" s="61" t="s">
        <v>3398</v>
      </c>
      <c r="H30" s="61" t="s">
        <v>3379</v>
      </c>
      <c r="I30" s="61" t="s">
        <v>3380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0" t="str">
        <f t="shared" si="1"/>
        <v>030</v>
      </c>
      <c r="B31" s="60" t="s">
        <v>184</v>
      </c>
      <c r="C31" s="61" t="s">
        <v>3417</v>
      </c>
      <c r="D31" s="61" t="s">
        <v>3395</v>
      </c>
      <c r="E31" s="61" t="s">
        <v>3396</v>
      </c>
      <c r="F31" s="61" t="s">
        <v>3397</v>
      </c>
      <c r="G31" s="61" t="s">
        <v>3398</v>
      </c>
      <c r="H31" s="61" t="s">
        <v>3379</v>
      </c>
      <c r="I31" s="61" t="s">
        <v>3380</v>
      </c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0" t="str">
        <f t="shared" si="1"/>
        <v>031</v>
      </c>
      <c r="B32" s="60" t="s">
        <v>187</v>
      </c>
      <c r="C32" s="61" t="s">
        <v>3418</v>
      </c>
      <c r="D32" s="61" t="s">
        <v>3411</v>
      </c>
      <c r="E32" s="61" t="s">
        <v>3412</v>
      </c>
      <c r="F32" s="61" t="s">
        <v>3413</v>
      </c>
      <c r="G32" s="61" t="s">
        <v>3414</v>
      </c>
      <c r="H32" s="61" t="s">
        <v>3379</v>
      </c>
      <c r="I32" s="61" t="s">
        <v>3380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0" t="str">
        <f t="shared" si="1"/>
        <v>032</v>
      </c>
      <c r="B33" s="60" t="s">
        <v>190</v>
      </c>
      <c r="C33" s="61" t="s">
        <v>3419</v>
      </c>
      <c r="D33" s="61" t="s">
        <v>3411</v>
      </c>
      <c r="E33" s="61" t="s">
        <v>3412</v>
      </c>
      <c r="F33" s="61" t="s">
        <v>3413</v>
      </c>
      <c r="G33" s="61" t="s">
        <v>3414</v>
      </c>
      <c r="H33" s="61" t="s">
        <v>3379</v>
      </c>
      <c r="I33" s="61" t="s">
        <v>3380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0" t="str">
        <f t="shared" si="1"/>
        <v>033</v>
      </c>
      <c r="B34" s="60" t="s">
        <v>193</v>
      </c>
      <c r="C34" s="61" t="s">
        <v>3420</v>
      </c>
      <c r="D34" s="61" t="s">
        <v>3411</v>
      </c>
      <c r="E34" s="61" t="s">
        <v>3412</v>
      </c>
      <c r="F34" s="61" t="s">
        <v>3413</v>
      </c>
      <c r="G34" s="61" t="s">
        <v>3414</v>
      </c>
      <c r="H34" s="61" t="s">
        <v>3379</v>
      </c>
      <c r="I34" s="61" t="s">
        <v>3380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0" t="str">
        <f t="shared" si="1"/>
        <v>034</v>
      </c>
      <c r="B35" s="60" t="s">
        <v>195</v>
      </c>
      <c r="C35" s="61" t="s">
        <v>3421</v>
      </c>
      <c r="D35" s="61" t="s">
        <v>3411</v>
      </c>
      <c r="E35" s="61" t="s">
        <v>3412</v>
      </c>
      <c r="F35" s="61" t="s">
        <v>3413</v>
      </c>
      <c r="G35" s="61" t="s">
        <v>3414</v>
      </c>
      <c r="H35" s="61" t="s">
        <v>3379</v>
      </c>
      <c r="I35" s="61" t="s">
        <v>3380</v>
      </c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0" t="str">
        <f t="shared" si="1"/>
        <v>035</v>
      </c>
      <c r="B36" s="60" t="s">
        <v>197</v>
      </c>
      <c r="C36" s="61" t="s">
        <v>3422</v>
      </c>
      <c r="D36" s="61" t="s">
        <v>3411</v>
      </c>
      <c r="E36" s="61" t="s">
        <v>3412</v>
      </c>
      <c r="F36" s="61" t="s">
        <v>3413</v>
      </c>
      <c r="G36" s="61" t="s">
        <v>3414</v>
      </c>
      <c r="H36" s="61" t="s">
        <v>3379</v>
      </c>
      <c r="I36" s="61" t="s">
        <v>3380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0" t="str">
        <f t="shared" si="1"/>
        <v>036</v>
      </c>
      <c r="B37" s="60" t="s">
        <v>199</v>
      </c>
      <c r="C37" s="61" t="s">
        <v>3423</v>
      </c>
      <c r="D37" s="61" t="s">
        <v>3411</v>
      </c>
      <c r="E37" s="61" t="s">
        <v>3412</v>
      </c>
      <c r="F37" s="61" t="s">
        <v>3413</v>
      </c>
      <c r="G37" s="61" t="s">
        <v>3414</v>
      </c>
      <c r="H37" s="61" t="s">
        <v>3379</v>
      </c>
      <c r="I37" s="61" t="s">
        <v>3380</v>
      </c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0" t="str">
        <f t="shared" si="1"/>
        <v>037</v>
      </c>
      <c r="B38" s="60" t="s">
        <v>201</v>
      </c>
      <c r="C38" s="61" t="s">
        <v>3424</v>
      </c>
      <c r="D38" s="61" t="s">
        <v>3411</v>
      </c>
      <c r="E38" s="61" t="s">
        <v>3412</v>
      </c>
      <c r="F38" s="61" t="s">
        <v>3413</v>
      </c>
      <c r="G38" s="61" t="s">
        <v>3414</v>
      </c>
      <c r="H38" s="61" t="s">
        <v>3379</v>
      </c>
      <c r="I38" s="61" t="s">
        <v>3380</v>
      </c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0" t="str">
        <f t="shared" si="1"/>
        <v>038</v>
      </c>
      <c r="B39" s="60" t="s">
        <v>203</v>
      </c>
      <c r="C39" s="61" t="s">
        <v>3425</v>
      </c>
      <c r="D39" s="61" t="s">
        <v>3411</v>
      </c>
      <c r="E39" s="61" t="s">
        <v>3412</v>
      </c>
      <c r="F39" s="61" t="s">
        <v>3413</v>
      </c>
      <c r="G39" s="61" t="s">
        <v>3414</v>
      </c>
      <c r="H39" s="61" t="s">
        <v>3379</v>
      </c>
      <c r="I39" s="61" t="s">
        <v>3380</v>
      </c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0" t="str">
        <f t="shared" si="1"/>
        <v>039</v>
      </c>
      <c r="B40" s="60" t="s">
        <v>205</v>
      </c>
      <c r="C40" s="61" t="s">
        <v>3426</v>
      </c>
      <c r="D40" s="61" t="s">
        <v>3427</v>
      </c>
      <c r="E40" s="61" t="s">
        <v>3428</v>
      </c>
      <c r="F40" s="61" t="s">
        <v>3429</v>
      </c>
      <c r="G40" s="61" t="s">
        <v>3430</v>
      </c>
      <c r="H40" s="61" t="s">
        <v>3379</v>
      </c>
      <c r="I40" s="61" t="s">
        <v>3380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0" t="str">
        <f t="shared" si="1"/>
        <v>040</v>
      </c>
      <c r="B41" s="60" t="s">
        <v>217</v>
      </c>
      <c r="C41" s="61" t="s">
        <v>3431</v>
      </c>
      <c r="D41" s="61" t="s">
        <v>3427</v>
      </c>
      <c r="E41" s="61" t="s">
        <v>3428</v>
      </c>
      <c r="F41" s="61" t="s">
        <v>3429</v>
      </c>
      <c r="G41" s="61" t="s">
        <v>3430</v>
      </c>
      <c r="H41" s="61" t="s">
        <v>3379</v>
      </c>
      <c r="I41" s="61" t="s">
        <v>3380</v>
      </c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0" t="str">
        <f t="shared" si="1"/>
        <v>041</v>
      </c>
      <c r="B42" s="60" t="s">
        <v>221</v>
      </c>
      <c r="C42" s="61" t="s">
        <v>3432</v>
      </c>
      <c r="D42" s="61" t="s">
        <v>3427</v>
      </c>
      <c r="E42" s="61" t="s">
        <v>3428</v>
      </c>
      <c r="F42" s="61" t="s">
        <v>3429</v>
      </c>
      <c r="G42" s="61" t="s">
        <v>3430</v>
      </c>
      <c r="H42" s="61" t="s">
        <v>3379</v>
      </c>
      <c r="I42" s="61" t="s">
        <v>3380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0" t="str">
        <f t="shared" si="1"/>
        <v>042</v>
      </c>
      <c r="B43" s="60" t="s">
        <v>225</v>
      </c>
      <c r="C43" s="61" t="s">
        <v>3433</v>
      </c>
      <c r="D43" s="61" t="s">
        <v>3427</v>
      </c>
      <c r="E43" s="61" t="s">
        <v>3428</v>
      </c>
      <c r="F43" s="61" t="s">
        <v>3429</v>
      </c>
      <c r="G43" s="61" t="s">
        <v>3430</v>
      </c>
      <c r="H43" s="61" t="s">
        <v>3379</v>
      </c>
      <c r="I43" s="61" t="s">
        <v>3380</v>
      </c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0" t="str">
        <f t="shared" si="1"/>
        <v>043</v>
      </c>
      <c r="B44" s="60" t="s">
        <v>228</v>
      </c>
      <c r="C44" s="61" t="s">
        <v>3434</v>
      </c>
      <c r="D44" s="61" t="s">
        <v>3427</v>
      </c>
      <c r="E44" s="61" t="s">
        <v>3428</v>
      </c>
      <c r="F44" s="61" t="s">
        <v>3429</v>
      </c>
      <c r="G44" s="61" t="s">
        <v>3430</v>
      </c>
      <c r="H44" s="61" t="s">
        <v>3379</v>
      </c>
      <c r="I44" s="61" t="s">
        <v>3380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0" t="str">
        <f t="shared" si="1"/>
        <v>044</v>
      </c>
      <c r="B45" s="60" t="s">
        <v>230</v>
      </c>
      <c r="C45" s="61" t="s">
        <v>3435</v>
      </c>
      <c r="D45" s="61" t="s">
        <v>3427</v>
      </c>
      <c r="E45" s="61" t="s">
        <v>3428</v>
      </c>
      <c r="F45" s="61" t="s">
        <v>3429</v>
      </c>
      <c r="G45" s="61" t="s">
        <v>3430</v>
      </c>
      <c r="H45" s="61" t="s">
        <v>3379</v>
      </c>
      <c r="I45" s="61" t="s">
        <v>3380</v>
      </c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33.75" customHeight="1">
      <c r="A46" s="60" t="str">
        <f t="shared" si="1"/>
        <v>045</v>
      </c>
      <c r="B46" s="63" t="s">
        <v>233</v>
      </c>
      <c r="C46" s="64" t="s">
        <v>3436</v>
      </c>
      <c r="D46" s="65" t="s">
        <v>3437</v>
      </c>
      <c r="E46" s="65" t="s">
        <v>3438</v>
      </c>
      <c r="F46" s="65" t="s">
        <v>3439</v>
      </c>
      <c r="G46" s="65" t="s">
        <v>3440</v>
      </c>
      <c r="H46" s="65" t="s">
        <v>3441</v>
      </c>
      <c r="I46" s="65" t="s">
        <v>3442</v>
      </c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40.5" customHeight="1">
      <c r="A47" s="60" t="str">
        <f t="shared" si="1"/>
        <v>046</v>
      </c>
      <c r="B47" s="63" t="s">
        <v>233</v>
      </c>
      <c r="C47" s="65" t="s">
        <v>3443</v>
      </c>
      <c r="D47" s="65" t="s">
        <v>3444</v>
      </c>
      <c r="E47" s="65" t="s">
        <v>3445</v>
      </c>
      <c r="F47" s="65" t="s">
        <v>3446</v>
      </c>
      <c r="G47" s="65" t="s">
        <v>3447</v>
      </c>
      <c r="H47" s="65" t="s">
        <v>3448</v>
      </c>
      <c r="I47" s="65" t="s">
        <v>3449</v>
      </c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32.25" customHeight="1">
      <c r="A48" s="60" t="str">
        <f t="shared" si="1"/>
        <v>047</v>
      </c>
      <c r="B48" s="63" t="s">
        <v>308</v>
      </c>
      <c r="C48" s="65" t="s">
        <v>3450</v>
      </c>
      <c r="D48" s="65" t="s">
        <v>3451</v>
      </c>
      <c r="E48" s="65" t="s">
        <v>3452</v>
      </c>
      <c r="F48" s="65" t="s">
        <v>3453</v>
      </c>
      <c r="G48" s="65" t="s">
        <v>3454</v>
      </c>
      <c r="H48" s="65" t="s">
        <v>3455</v>
      </c>
      <c r="I48" s="65" t="s">
        <v>3456</v>
      </c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45.0" customHeight="1">
      <c r="A49" s="60" t="str">
        <f t="shared" si="1"/>
        <v>048</v>
      </c>
      <c r="B49" s="63" t="s">
        <v>235</v>
      </c>
      <c r="C49" s="65" t="s">
        <v>3457</v>
      </c>
      <c r="D49" s="65" t="s">
        <v>3458</v>
      </c>
      <c r="E49" s="65" t="s">
        <v>3459</v>
      </c>
      <c r="F49" s="65" t="s">
        <v>3460</v>
      </c>
      <c r="G49" s="65" t="s">
        <v>3461</v>
      </c>
      <c r="H49" s="65" t="s">
        <v>3462</v>
      </c>
      <c r="I49" s="65" t="s">
        <v>3463</v>
      </c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30.75" customHeight="1">
      <c r="A50" s="60" t="str">
        <f t="shared" si="1"/>
        <v>049</v>
      </c>
      <c r="B50" s="63" t="s">
        <v>237</v>
      </c>
      <c r="C50" s="65" t="s">
        <v>3464</v>
      </c>
      <c r="D50" s="65" t="s">
        <v>3465</v>
      </c>
      <c r="E50" s="65" t="s">
        <v>3466</v>
      </c>
      <c r="F50" s="65" t="s">
        <v>3467</v>
      </c>
      <c r="G50" s="65" t="s">
        <v>3468</v>
      </c>
      <c r="H50" s="65" t="s">
        <v>3469</v>
      </c>
      <c r="I50" s="65" t="s">
        <v>3470</v>
      </c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26.25" customHeight="1">
      <c r="A51" s="60" t="str">
        <f t="shared" si="1"/>
        <v>050</v>
      </c>
      <c r="B51" s="63" t="s">
        <v>310</v>
      </c>
      <c r="C51" s="65" t="s">
        <v>3471</v>
      </c>
      <c r="D51" s="65" t="s">
        <v>3472</v>
      </c>
      <c r="E51" s="65" t="s">
        <v>3473</v>
      </c>
      <c r="F51" s="65" t="s">
        <v>3474</v>
      </c>
      <c r="G51" s="65" t="s">
        <v>3475</v>
      </c>
      <c r="H51" s="65" t="s">
        <v>3476</v>
      </c>
      <c r="I51" s="65" t="s">
        <v>3477</v>
      </c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31.5" customHeight="1">
      <c r="A52" s="60" t="str">
        <f t="shared" si="1"/>
        <v>051</v>
      </c>
      <c r="B52" s="63" t="s">
        <v>239</v>
      </c>
      <c r="C52" s="65" t="s">
        <v>3478</v>
      </c>
      <c r="D52" s="65" t="s">
        <v>3479</v>
      </c>
      <c r="E52" s="65" t="s">
        <v>3480</v>
      </c>
      <c r="F52" s="65" t="s">
        <v>3481</v>
      </c>
      <c r="G52" s="65" t="s">
        <v>3482</v>
      </c>
      <c r="H52" s="65" t="s">
        <v>3483</v>
      </c>
      <c r="I52" s="65" t="s">
        <v>3484</v>
      </c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60" t="str">
        <f t="shared" si="1"/>
        <v>052</v>
      </c>
      <c r="B53" s="63" t="s">
        <v>327</v>
      </c>
      <c r="C53" s="65" t="s">
        <v>3485</v>
      </c>
      <c r="D53" s="65" t="s">
        <v>3486</v>
      </c>
      <c r="E53" s="65" t="s">
        <v>3487</v>
      </c>
      <c r="F53" s="65" t="s">
        <v>3488</v>
      </c>
      <c r="G53" s="65" t="s">
        <v>3489</v>
      </c>
      <c r="H53" s="65" t="s">
        <v>3490</v>
      </c>
      <c r="I53" s="65" t="s">
        <v>3491</v>
      </c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60" t="str">
        <f t="shared" si="1"/>
        <v>053</v>
      </c>
      <c r="B54" s="63" t="s">
        <v>241</v>
      </c>
      <c r="C54" s="65" t="s">
        <v>3492</v>
      </c>
      <c r="D54" s="65" t="s">
        <v>3493</v>
      </c>
      <c r="E54" s="65" t="s">
        <v>3494</v>
      </c>
      <c r="F54" s="65" t="s">
        <v>3495</v>
      </c>
      <c r="G54" s="65" t="s">
        <v>3496</v>
      </c>
      <c r="H54" s="65" t="s">
        <v>3497</v>
      </c>
      <c r="I54" s="65" t="s">
        <v>3498</v>
      </c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60" t="str">
        <f t="shared" si="1"/>
        <v>054</v>
      </c>
      <c r="B55" s="63" t="s">
        <v>330</v>
      </c>
      <c r="C55" s="65" t="s">
        <v>3499</v>
      </c>
      <c r="D55" s="65" t="s">
        <v>3500</v>
      </c>
      <c r="E55" s="65" t="s">
        <v>3501</v>
      </c>
      <c r="F55" s="65" t="s">
        <v>3502</v>
      </c>
      <c r="G55" s="65" t="s">
        <v>3489</v>
      </c>
      <c r="H55" s="65" t="s">
        <v>3503</v>
      </c>
      <c r="I55" s="65" t="s">
        <v>3491</v>
      </c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60" t="str">
        <f t="shared" si="1"/>
        <v>055</v>
      </c>
      <c r="B56" s="63" t="s">
        <v>243</v>
      </c>
      <c r="C56" s="65" t="s">
        <v>3504</v>
      </c>
      <c r="D56" s="65" t="s">
        <v>3505</v>
      </c>
      <c r="E56" s="65" t="s">
        <v>3506</v>
      </c>
      <c r="F56" s="65" t="s">
        <v>3507</v>
      </c>
      <c r="G56" s="65" t="s">
        <v>3508</v>
      </c>
      <c r="H56" s="65" t="s">
        <v>3509</v>
      </c>
      <c r="I56" s="65" t="s">
        <v>3510</v>
      </c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60" t="str">
        <f t="shared" si="1"/>
        <v>056</v>
      </c>
      <c r="B57" s="63" t="s">
        <v>332</v>
      </c>
      <c r="C57" s="65" t="s">
        <v>3511</v>
      </c>
      <c r="D57" s="65" t="s">
        <v>3512</v>
      </c>
      <c r="E57" s="65" t="s">
        <v>3513</v>
      </c>
      <c r="F57" s="65" t="s">
        <v>3514</v>
      </c>
      <c r="G57" s="65" t="s">
        <v>3489</v>
      </c>
      <c r="H57" s="65" t="s">
        <v>3515</v>
      </c>
      <c r="I57" s="65" t="s">
        <v>3491</v>
      </c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60" t="str">
        <f t="shared" si="1"/>
        <v>057</v>
      </c>
      <c r="B58" s="63" t="s">
        <v>245</v>
      </c>
      <c r="C58" s="65" t="s">
        <v>3516</v>
      </c>
      <c r="D58" s="65" t="s">
        <v>3517</v>
      </c>
      <c r="E58" s="65" t="s">
        <v>3518</v>
      </c>
      <c r="F58" s="65" t="s">
        <v>3519</v>
      </c>
      <c r="G58" s="65" t="s">
        <v>3520</v>
      </c>
      <c r="H58" s="65" t="s">
        <v>3521</v>
      </c>
      <c r="I58" s="65" t="s">
        <v>3463</v>
      </c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60" t="str">
        <f t="shared" si="1"/>
        <v>058</v>
      </c>
      <c r="B59" s="63" t="s">
        <v>334</v>
      </c>
      <c r="C59" s="65" t="s">
        <v>3522</v>
      </c>
      <c r="D59" s="65" t="s">
        <v>3523</v>
      </c>
      <c r="E59" s="65" t="s">
        <v>3524</v>
      </c>
      <c r="F59" s="65" t="s">
        <v>3525</v>
      </c>
      <c r="G59" s="65" t="s">
        <v>3489</v>
      </c>
      <c r="H59" s="65" t="s">
        <v>3526</v>
      </c>
      <c r="I59" s="65" t="s">
        <v>3477</v>
      </c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60" t="str">
        <f t="shared" si="1"/>
        <v>059</v>
      </c>
      <c r="B60" s="63" t="s">
        <v>254</v>
      </c>
      <c r="C60" s="65" t="s">
        <v>3527</v>
      </c>
      <c r="D60" s="65" t="s">
        <v>3528</v>
      </c>
      <c r="E60" s="65" t="s">
        <v>3529</v>
      </c>
      <c r="F60" s="65" t="s">
        <v>3530</v>
      </c>
      <c r="G60" s="65" t="s">
        <v>3531</v>
      </c>
      <c r="H60" s="65" t="s">
        <v>3532</v>
      </c>
      <c r="I60" s="65" t="s">
        <v>3533</v>
      </c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60" t="str">
        <f t="shared" si="1"/>
        <v>060</v>
      </c>
      <c r="B61" s="63" t="s">
        <v>336</v>
      </c>
      <c r="C61" s="65" t="s">
        <v>3534</v>
      </c>
      <c r="D61" s="65" t="s">
        <v>3535</v>
      </c>
      <c r="E61" s="65" t="s">
        <v>3536</v>
      </c>
      <c r="F61" s="65" t="s">
        <v>3537</v>
      </c>
      <c r="G61" s="65" t="s">
        <v>3489</v>
      </c>
      <c r="H61" s="65" t="s">
        <v>3538</v>
      </c>
      <c r="I61" s="65" t="s">
        <v>3491</v>
      </c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60" t="str">
        <f t="shared" si="1"/>
        <v>061</v>
      </c>
      <c r="B62" s="63" t="s">
        <v>257</v>
      </c>
      <c r="C62" s="65" t="s">
        <v>3539</v>
      </c>
      <c r="D62" s="65" t="s">
        <v>3540</v>
      </c>
      <c r="E62" s="65" t="s">
        <v>3541</v>
      </c>
      <c r="F62" s="65" t="s">
        <v>3542</v>
      </c>
      <c r="G62" s="65" t="s">
        <v>3543</v>
      </c>
      <c r="H62" s="65" t="s">
        <v>3544</v>
      </c>
      <c r="I62" s="65" t="s">
        <v>3545</v>
      </c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60" t="str">
        <f t="shared" si="1"/>
        <v>062</v>
      </c>
      <c r="B63" s="63" t="s">
        <v>338</v>
      </c>
      <c r="C63" s="65" t="s">
        <v>3546</v>
      </c>
      <c r="D63" s="65" t="s">
        <v>3547</v>
      </c>
      <c r="E63" s="65" t="s">
        <v>3548</v>
      </c>
      <c r="F63" s="65" t="s">
        <v>3549</v>
      </c>
      <c r="G63" s="65" t="s">
        <v>3489</v>
      </c>
      <c r="H63" s="65" t="s">
        <v>3550</v>
      </c>
      <c r="I63" s="65" t="s">
        <v>3491</v>
      </c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60" t="str">
        <f t="shared" si="1"/>
        <v>063</v>
      </c>
      <c r="B64" s="63" t="s">
        <v>259</v>
      </c>
      <c r="C64" s="65" t="s">
        <v>3551</v>
      </c>
      <c r="D64" s="65" t="s">
        <v>3552</v>
      </c>
      <c r="E64" s="65" t="s">
        <v>3553</v>
      </c>
      <c r="F64" s="65" t="s">
        <v>3554</v>
      </c>
      <c r="G64" s="65" t="s">
        <v>3555</v>
      </c>
      <c r="H64" s="65" t="s">
        <v>3556</v>
      </c>
      <c r="I64" s="65" t="s">
        <v>3557</v>
      </c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60" t="str">
        <f t="shared" si="1"/>
        <v>064</v>
      </c>
      <c r="B65" s="63" t="s">
        <v>340</v>
      </c>
      <c r="C65" s="65" t="s">
        <v>3558</v>
      </c>
      <c r="D65" s="65" t="s">
        <v>3559</v>
      </c>
      <c r="E65" s="65" t="s">
        <v>3560</v>
      </c>
      <c r="F65" s="65" t="s">
        <v>3561</v>
      </c>
      <c r="G65" s="65" t="s">
        <v>3489</v>
      </c>
      <c r="H65" s="65" t="s">
        <v>3562</v>
      </c>
      <c r="I65" s="65" t="s">
        <v>3491</v>
      </c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60" t="str">
        <f t="shared" si="1"/>
        <v>065</v>
      </c>
      <c r="B66" s="63" t="s">
        <v>262</v>
      </c>
      <c r="C66" s="65" t="s">
        <v>3563</v>
      </c>
      <c r="D66" s="65" t="s">
        <v>3564</v>
      </c>
      <c r="E66" s="65" t="s">
        <v>3565</v>
      </c>
      <c r="F66" s="65" t="s">
        <v>3566</v>
      </c>
      <c r="G66" s="65" t="s">
        <v>3567</v>
      </c>
      <c r="H66" s="65" t="s">
        <v>3568</v>
      </c>
      <c r="I66" s="65" t="s">
        <v>3569</v>
      </c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60" t="str">
        <f t="shared" si="1"/>
        <v>066</v>
      </c>
      <c r="B67" s="63" t="s">
        <v>342</v>
      </c>
      <c r="C67" s="65" t="s">
        <v>3570</v>
      </c>
      <c r="D67" s="65" t="s">
        <v>3571</v>
      </c>
      <c r="E67" s="65" t="s">
        <v>3572</v>
      </c>
      <c r="F67" s="65" t="s">
        <v>3573</v>
      </c>
      <c r="G67" s="65" t="s">
        <v>3574</v>
      </c>
      <c r="H67" s="65" t="s">
        <v>3575</v>
      </c>
      <c r="I67" s="65" t="s">
        <v>3576</v>
      </c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60" t="str">
        <f t="shared" si="1"/>
        <v>067</v>
      </c>
      <c r="B68" s="63" t="s">
        <v>264</v>
      </c>
      <c r="C68" s="65" t="s">
        <v>3577</v>
      </c>
      <c r="D68" s="65" t="s">
        <v>3578</v>
      </c>
      <c r="E68" s="65" t="s">
        <v>3579</v>
      </c>
      <c r="F68" s="65" t="s">
        <v>3580</v>
      </c>
      <c r="G68" s="65" t="s">
        <v>3581</v>
      </c>
      <c r="H68" s="65" t="s">
        <v>3582</v>
      </c>
      <c r="I68" s="65" t="s">
        <v>3583</v>
      </c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60" t="str">
        <f t="shared" si="1"/>
        <v>068</v>
      </c>
      <c r="B69" s="63" t="s">
        <v>344</v>
      </c>
      <c r="C69" s="65" t="s">
        <v>3584</v>
      </c>
      <c r="D69" s="65" t="s">
        <v>3585</v>
      </c>
      <c r="E69" s="65" t="s">
        <v>3586</v>
      </c>
      <c r="F69" s="65" t="s">
        <v>3587</v>
      </c>
      <c r="G69" s="65" t="s">
        <v>3489</v>
      </c>
      <c r="H69" s="65" t="s">
        <v>3588</v>
      </c>
      <c r="I69" s="65" t="s">
        <v>3491</v>
      </c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60" t="str">
        <f t="shared" si="1"/>
        <v>069</v>
      </c>
      <c r="B70" s="63" t="s">
        <v>269</v>
      </c>
      <c r="C70" s="65" t="s">
        <v>3589</v>
      </c>
      <c r="D70" s="65" t="s">
        <v>3590</v>
      </c>
      <c r="E70" s="65" t="s">
        <v>3591</v>
      </c>
      <c r="F70" s="65" t="s">
        <v>3592</v>
      </c>
      <c r="G70" s="65" t="s">
        <v>3593</v>
      </c>
      <c r="H70" s="65" t="s">
        <v>3594</v>
      </c>
      <c r="I70" s="65" t="s">
        <v>3595</v>
      </c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60" t="str">
        <f t="shared" si="1"/>
        <v>070</v>
      </c>
      <c r="B71" s="63" t="s">
        <v>346</v>
      </c>
      <c r="C71" s="65" t="s">
        <v>3596</v>
      </c>
      <c r="D71" s="65" t="s">
        <v>3597</v>
      </c>
      <c r="E71" s="65" t="s">
        <v>3598</v>
      </c>
      <c r="F71" s="65" t="s">
        <v>3599</v>
      </c>
      <c r="G71" s="65" t="s">
        <v>3600</v>
      </c>
      <c r="H71" s="65" t="s">
        <v>3601</v>
      </c>
      <c r="I71" s="65" t="s">
        <v>3491</v>
      </c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60" t="str">
        <f t="shared" si="1"/>
        <v>071</v>
      </c>
      <c r="B72" s="63" t="s">
        <v>272</v>
      </c>
      <c r="C72" s="65" t="s">
        <v>3602</v>
      </c>
      <c r="D72" s="65" t="s">
        <v>3603</v>
      </c>
      <c r="E72" s="65" t="s">
        <v>3604</v>
      </c>
      <c r="F72" s="65" t="s">
        <v>3605</v>
      </c>
      <c r="G72" s="65" t="s">
        <v>3593</v>
      </c>
      <c r="H72" s="65" t="s">
        <v>3606</v>
      </c>
      <c r="I72" s="65" t="s">
        <v>3607</v>
      </c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60" t="str">
        <f t="shared" si="1"/>
        <v>072</v>
      </c>
      <c r="B73" s="63" t="s">
        <v>349</v>
      </c>
      <c r="C73" s="65" t="s">
        <v>3608</v>
      </c>
      <c r="D73" s="65" t="s">
        <v>3609</v>
      </c>
      <c r="E73" s="65" t="s">
        <v>3610</v>
      </c>
      <c r="F73" s="65" t="s">
        <v>3611</v>
      </c>
      <c r="G73" s="65" t="s">
        <v>3612</v>
      </c>
      <c r="H73" s="65" t="s">
        <v>3613</v>
      </c>
      <c r="I73" s="65" t="s">
        <v>3614</v>
      </c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60" t="str">
        <f t="shared" si="1"/>
        <v>073</v>
      </c>
      <c r="B74" s="63" t="s">
        <v>274</v>
      </c>
      <c r="C74" s="65" t="s">
        <v>3615</v>
      </c>
      <c r="D74" s="65" t="s">
        <v>3616</v>
      </c>
      <c r="E74" s="65" t="s">
        <v>3617</v>
      </c>
      <c r="F74" s="65" t="s">
        <v>3618</v>
      </c>
      <c r="G74" s="65" t="s">
        <v>3619</v>
      </c>
      <c r="H74" s="65" t="s">
        <v>3620</v>
      </c>
      <c r="I74" s="65" t="s">
        <v>3621</v>
      </c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60" t="str">
        <f t="shared" si="1"/>
        <v>074</v>
      </c>
      <c r="B75" s="63" t="s">
        <v>356</v>
      </c>
      <c r="C75" s="65" t="s">
        <v>3622</v>
      </c>
      <c r="D75" s="65" t="s">
        <v>3623</v>
      </c>
      <c r="E75" s="65" t="s">
        <v>3624</v>
      </c>
      <c r="F75" s="65" t="s">
        <v>3625</v>
      </c>
      <c r="G75" s="65" t="s">
        <v>3612</v>
      </c>
      <c r="H75" s="65" t="s">
        <v>3626</v>
      </c>
      <c r="I75" s="65" t="s">
        <v>3491</v>
      </c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60" t="str">
        <f t="shared" si="1"/>
        <v>075</v>
      </c>
      <c r="B76" s="63" t="s">
        <v>288</v>
      </c>
      <c r="C76" s="65" t="s">
        <v>3627</v>
      </c>
      <c r="D76" s="65" t="s">
        <v>3628</v>
      </c>
      <c r="E76" s="65" t="s">
        <v>3629</v>
      </c>
      <c r="F76" s="65" t="s">
        <v>3630</v>
      </c>
      <c r="G76" s="65" t="s">
        <v>3475</v>
      </c>
      <c r="H76" s="65" t="s">
        <v>3631</v>
      </c>
      <c r="I76" s="65" t="s">
        <v>3632</v>
      </c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60" t="str">
        <f t="shared" si="1"/>
        <v>076</v>
      </c>
      <c r="B77" s="63" t="s">
        <v>359</v>
      </c>
      <c r="C77" s="65" t="s">
        <v>3633</v>
      </c>
      <c r="D77" s="65" t="s">
        <v>3634</v>
      </c>
      <c r="E77" s="65" t="s">
        <v>3635</v>
      </c>
      <c r="F77" s="65" t="s">
        <v>3636</v>
      </c>
      <c r="G77" s="65" t="s">
        <v>3637</v>
      </c>
      <c r="H77" s="65" t="s">
        <v>3638</v>
      </c>
      <c r="I77" s="65" t="s">
        <v>3491</v>
      </c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60" t="str">
        <f t="shared" si="1"/>
        <v>077</v>
      </c>
      <c r="B78" s="63" t="s">
        <v>292</v>
      </c>
      <c r="C78" s="65" t="s">
        <v>3639</v>
      </c>
      <c r="D78" s="65" t="s">
        <v>3640</v>
      </c>
      <c r="E78" s="65" t="s">
        <v>3641</v>
      </c>
      <c r="F78" s="65" t="s">
        <v>3642</v>
      </c>
      <c r="G78" s="65" t="s">
        <v>3475</v>
      </c>
      <c r="H78" s="65" t="s">
        <v>3643</v>
      </c>
      <c r="I78" s="65" t="s">
        <v>3456</v>
      </c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60" t="str">
        <f t="shared" si="1"/>
        <v>078</v>
      </c>
      <c r="B79" s="63" t="s">
        <v>361</v>
      </c>
      <c r="C79" s="65" t="s">
        <v>3644</v>
      </c>
      <c r="D79" s="65" t="s">
        <v>3645</v>
      </c>
      <c r="E79" s="65" t="s">
        <v>3646</v>
      </c>
      <c r="F79" s="65" t="s">
        <v>3647</v>
      </c>
      <c r="G79" s="65" t="s">
        <v>3637</v>
      </c>
      <c r="H79" s="65" t="s">
        <v>3648</v>
      </c>
      <c r="I79" s="65" t="s">
        <v>3491</v>
      </c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60" t="str">
        <f t="shared" si="1"/>
        <v>079</v>
      </c>
      <c r="B80" s="63" t="s">
        <v>295</v>
      </c>
      <c r="C80" s="65" t="s">
        <v>3649</v>
      </c>
      <c r="D80" s="65" t="s">
        <v>3650</v>
      </c>
      <c r="E80" s="65" t="s">
        <v>3651</v>
      </c>
      <c r="F80" s="65" t="s">
        <v>3652</v>
      </c>
      <c r="G80" s="65" t="s">
        <v>3475</v>
      </c>
      <c r="H80" s="65" t="s">
        <v>3653</v>
      </c>
      <c r="I80" s="65" t="s">
        <v>3491</v>
      </c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60" t="str">
        <f t="shared" si="1"/>
        <v>080</v>
      </c>
      <c r="B81" s="63" t="s">
        <v>363</v>
      </c>
      <c r="C81" s="65" t="s">
        <v>3654</v>
      </c>
      <c r="D81" s="65" t="s">
        <v>3655</v>
      </c>
      <c r="E81" s="65" t="s">
        <v>3610</v>
      </c>
      <c r="F81" s="65" t="s">
        <v>3656</v>
      </c>
      <c r="G81" s="65" t="s">
        <v>3657</v>
      </c>
      <c r="H81" s="65" t="s">
        <v>3658</v>
      </c>
      <c r="I81" s="65" t="s">
        <v>3614</v>
      </c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60" t="str">
        <f t="shared" si="1"/>
        <v>081</v>
      </c>
      <c r="B82" s="63" t="s">
        <v>298</v>
      </c>
      <c r="C82" s="65" t="s">
        <v>3659</v>
      </c>
      <c r="D82" s="65" t="s">
        <v>3660</v>
      </c>
      <c r="E82" s="65" t="s">
        <v>3661</v>
      </c>
      <c r="F82" s="65" t="s">
        <v>3662</v>
      </c>
      <c r="G82" s="65" t="s">
        <v>3475</v>
      </c>
      <c r="H82" s="65" t="s">
        <v>3663</v>
      </c>
      <c r="I82" s="65" t="s">
        <v>3632</v>
      </c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60" t="str">
        <f t="shared" si="1"/>
        <v>082</v>
      </c>
      <c r="B83" s="63" t="s">
        <v>365</v>
      </c>
      <c r="C83" s="65" t="s">
        <v>3664</v>
      </c>
      <c r="D83" s="65" t="s">
        <v>3665</v>
      </c>
      <c r="E83" s="65" t="s">
        <v>3666</v>
      </c>
      <c r="F83" s="65" t="s">
        <v>3611</v>
      </c>
      <c r="G83" s="65" t="s">
        <v>3657</v>
      </c>
      <c r="H83" s="65" t="s">
        <v>3667</v>
      </c>
      <c r="I83" s="65" t="s">
        <v>3491</v>
      </c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60" t="str">
        <f t="shared" si="1"/>
        <v>083</v>
      </c>
      <c r="B84" s="63" t="s">
        <v>300</v>
      </c>
      <c r="C84" s="65" t="s">
        <v>3668</v>
      </c>
      <c r="D84" s="65" t="s">
        <v>3669</v>
      </c>
      <c r="E84" s="65" t="s">
        <v>3670</v>
      </c>
      <c r="F84" s="65" t="s">
        <v>3671</v>
      </c>
      <c r="G84" s="65" t="s">
        <v>3475</v>
      </c>
      <c r="H84" s="65" t="s">
        <v>3672</v>
      </c>
      <c r="I84" s="65" t="s">
        <v>3673</v>
      </c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60" t="str">
        <f t="shared" si="1"/>
        <v>084</v>
      </c>
      <c r="B85" s="63" t="s">
        <v>367</v>
      </c>
      <c r="C85" s="65" t="s">
        <v>3674</v>
      </c>
      <c r="D85" s="65" t="s">
        <v>3675</v>
      </c>
      <c r="E85" s="65" t="s">
        <v>3676</v>
      </c>
      <c r="F85" s="65" t="s">
        <v>3677</v>
      </c>
      <c r="G85" s="65" t="s">
        <v>3657</v>
      </c>
      <c r="H85" s="65" t="s">
        <v>3678</v>
      </c>
      <c r="I85" s="65" t="s">
        <v>3491</v>
      </c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60" t="str">
        <f t="shared" si="1"/>
        <v>085</v>
      </c>
      <c r="B86" s="63" t="s">
        <v>302</v>
      </c>
      <c r="C86" s="65" t="s">
        <v>3679</v>
      </c>
      <c r="D86" s="65" t="s">
        <v>3680</v>
      </c>
      <c r="E86" s="65" t="s">
        <v>3604</v>
      </c>
      <c r="F86" s="65" t="s">
        <v>3681</v>
      </c>
      <c r="G86" s="65" t="s">
        <v>3600</v>
      </c>
      <c r="H86" s="65" t="s">
        <v>3682</v>
      </c>
      <c r="I86" s="65" t="s">
        <v>3583</v>
      </c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60" t="str">
        <f t="shared" si="1"/>
        <v>086</v>
      </c>
      <c r="B87" s="65" t="s">
        <v>257</v>
      </c>
      <c r="C87" s="65" t="s">
        <v>3539</v>
      </c>
      <c r="D87" s="65" t="s">
        <v>3540</v>
      </c>
      <c r="E87" s="65" t="s">
        <v>3541</v>
      </c>
      <c r="F87" s="65" t="s">
        <v>3542</v>
      </c>
      <c r="G87" s="65" t="s">
        <v>3543</v>
      </c>
      <c r="H87" s="65" t="s">
        <v>3544</v>
      </c>
      <c r="I87" s="65" t="s">
        <v>3545</v>
      </c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60" t="str">
        <f t="shared" si="1"/>
        <v>087</v>
      </c>
      <c r="B88" s="63" t="s">
        <v>304</v>
      </c>
      <c r="C88" s="65" t="s">
        <v>3683</v>
      </c>
      <c r="D88" s="65" t="s">
        <v>3684</v>
      </c>
      <c r="E88" s="65" t="s">
        <v>3685</v>
      </c>
      <c r="F88" s="65" t="s">
        <v>3686</v>
      </c>
      <c r="G88" s="65" t="s">
        <v>3600</v>
      </c>
      <c r="H88" s="65" t="s">
        <v>3687</v>
      </c>
      <c r="I88" s="65" t="s">
        <v>3632</v>
      </c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60" t="str">
        <f t="shared" si="1"/>
        <v>088</v>
      </c>
      <c r="B89" s="65" t="s">
        <v>259</v>
      </c>
      <c r="C89" s="65" t="s">
        <v>3551</v>
      </c>
      <c r="D89" s="65" t="s">
        <v>3552</v>
      </c>
      <c r="E89" s="65" t="s">
        <v>3553</v>
      </c>
      <c r="F89" s="65" t="s">
        <v>3554</v>
      </c>
      <c r="G89" s="65" t="s">
        <v>3555</v>
      </c>
      <c r="H89" s="65" t="s">
        <v>3556</v>
      </c>
      <c r="I89" s="65" t="s">
        <v>3557</v>
      </c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60" t="str">
        <f t="shared" si="1"/>
        <v>089</v>
      </c>
      <c r="B90" s="63" t="s">
        <v>306</v>
      </c>
      <c r="C90" s="65" t="s">
        <v>3688</v>
      </c>
      <c r="D90" s="65" t="s">
        <v>3689</v>
      </c>
      <c r="E90" s="65" t="s">
        <v>3690</v>
      </c>
      <c r="F90" s="65" t="s">
        <v>3691</v>
      </c>
      <c r="G90" s="65" t="s">
        <v>3600</v>
      </c>
      <c r="H90" s="65" t="s">
        <v>3692</v>
      </c>
      <c r="I90" s="65" t="s">
        <v>3693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60" t="str">
        <f t="shared" si="1"/>
        <v>090</v>
      </c>
      <c r="B91" s="60" t="s">
        <v>369</v>
      </c>
      <c r="C91" s="60" t="s">
        <v>3694</v>
      </c>
      <c r="D91" s="60" t="s">
        <v>3695</v>
      </c>
      <c r="E91" s="60" t="s">
        <v>3696</v>
      </c>
      <c r="F91" s="60" t="s">
        <v>3697</v>
      </c>
      <c r="G91" s="60" t="s">
        <v>3698</v>
      </c>
      <c r="H91" s="60" t="s">
        <v>3699</v>
      </c>
      <c r="I91" s="60" t="s">
        <v>3700</v>
      </c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60" t="str">
        <f t="shared" si="1"/>
        <v>091</v>
      </c>
      <c r="B92" s="60" t="s">
        <v>371</v>
      </c>
      <c r="C92" s="60" t="s">
        <v>3701</v>
      </c>
      <c r="D92" s="60" t="s">
        <v>3702</v>
      </c>
      <c r="E92" s="60" t="s">
        <v>3703</v>
      </c>
      <c r="F92" s="60" t="s">
        <v>3704</v>
      </c>
      <c r="G92" s="60" t="s">
        <v>3705</v>
      </c>
      <c r="H92" s="60" t="s">
        <v>3706</v>
      </c>
      <c r="I92" s="60" t="s">
        <v>3707</v>
      </c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60" t="str">
        <f t="shared" si="1"/>
        <v>092</v>
      </c>
      <c r="B93" s="60" t="s">
        <v>373</v>
      </c>
      <c r="C93" s="60" t="s">
        <v>3708</v>
      </c>
      <c r="D93" s="60" t="s">
        <v>3709</v>
      </c>
      <c r="E93" s="60" t="s">
        <v>3710</v>
      </c>
      <c r="F93" s="60" t="s">
        <v>3711</v>
      </c>
      <c r="G93" s="60" t="s">
        <v>3712</v>
      </c>
      <c r="H93" s="60" t="s">
        <v>3706</v>
      </c>
      <c r="I93" s="60" t="s">
        <v>3713</v>
      </c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60" t="str">
        <f t="shared" si="1"/>
        <v>093</v>
      </c>
      <c r="B94" s="60" t="s">
        <v>375</v>
      </c>
      <c r="C94" s="60" t="s">
        <v>3714</v>
      </c>
      <c r="D94" s="60" t="s">
        <v>3715</v>
      </c>
      <c r="E94" s="60" t="s">
        <v>3716</v>
      </c>
      <c r="F94" s="60" t="s">
        <v>3717</v>
      </c>
      <c r="G94" s="60" t="s">
        <v>3718</v>
      </c>
      <c r="H94" s="60" t="s">
        <v>3706</v>
      </c>
      <c r="I94" s="60" t="s">
        <v>3719</v>
      </c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60" t="str">
        <f t="shared" si="1"/>
        <v>094</v>
      </c>
      <c r="B95" s="60" t="s">
        <v>377</v>
      </c>
      <c r="C95" s="60" t="s">
        <v>3720</v>
      </c>
      <c r="D95" s="60" t="s">
        <v>3721</v>
      </c>
      <c r="E95" s="60" t="s">
        <v>3722</v>
      </c>
      <c r="F95" s="60" t="s">
        <v>3723</v>
      </c>
      <c r="G95" s="60" t="s">
        <v>3724</v>
      </c>
      <c r="H95" s="60" t="s">
        <v>3725</v>
      </c>
      <c r="I95" s="60" t="s">
        <v>3726</v>
      </c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60" t="str">
        <f t="shared" si="1"/>
        <v>095</v>
      </c>
      <c r="B96" s="60" t="s">
        <v>384</v>
      </c>
      <c r="C96" s="60" t="s">
        <v>3727</v>
      </c>
      <c r="D96" s="60" t="s">
        <v>3728</v>
      </c>
      <c r="E96" s="60" t="s">
        <v>3729</v>
      </c>
      <c r="F96" s="60" t="s">
        <v>3730</v>
      </c>
      <c r="G96" s="60" t="s">
        <v>3731</v>
      </c>
      <c r="H96" s="60" t="s">
        <v>3732</v>
      </c>
      <c r="I96" s="60" t="s">
        <v>3733</v>
      </c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60" t="str">
        <f t="shared" si="1"/>
        <v>096</v>
      </c>
      <c r="B97" s="60" t="s">
        <v>386</v>
      </c>
      <c r="C97" s="60" t="s">
        <v>3734</v>
      </c>
      <c r="D97" s="60" t="s">
        <v>3735</v>
      </c>
      <c r="E97" s="60" t="s">
        <v>3736</v>
      </c>
      <c r="F97" s="60" t="s">
        <v>3737</v>
      </c>
      <c r="G97" s="60" t="s">
        <v>3724</v>
      </c>
      <c r="H97" s="60" t="s">
        <v>3738</v>
      </c>
      <c r="I97" s="60" t="s">
        <v>3739</v>
      </c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60" t="str">
        <f t="shared" si="1"/>
        <v>097</v>
      </c>
      <c r="B98" s="60" t="s">
        <v>388</v>
      </c>
      <c r="C98" s="60" t="s">
        <v>3740</v>
      </c>
      <c r="D98" s="60" t="s">
        <v>3741</v>
      </c>
      <c r="E98" s="60" t="s">
        <v>3742</v>
      </c>
      <c r="F98" s="60" t="s">
        <v>3743</v>
      </c>
      <c r="G98" s="60" t="s">
        <v>3744</v>
      </c>
      <c r="H98" s="60" t="s">
        <v>3725</v>
      </c>
      <c r="I98" s="60" t="s">
        <v>3745</v>
      </c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60" t="str">
        <f t="shared" si="1"/>
        <v>098</v>
      </c>
      <c r="B99" s="60" t="s">
        <v>390</v>
      </c>
      <c r="C99" s="60" t="s">
        <v>3746</v>
      </c>
      <c r="D99" s="60" t="s">
        <v>3747</v>
      </c>
      <c r="E99" s="60" t="s">
        <v>3748</v>
      </c>
      <c r="F99" s="60" t="s">
        <v>3749</v>
      </c>
      <c r="G99" s="60" t="s">
        <v>3750</v>
      </c>
      <c r="H99" s="60" t="s">
        <v>3751</v>
      </c>
      <c r="I99" s="60" t="s">
        <v>3752</v>
      </c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60" t="str">
        <f t="shared" si="1"/>
        <v>099</v>
      </c>
      <c r="B100" s="60" t="s">
        <v>393</v>
      </c>
      <c r="C100" s="60" t="s">
        <v>3753</v>
      </c>
      <c r="D100" s="60" t="s">
        <v>3754</v>
      </c>
      <c r="E100" s="60" t="s">
        <v>3755</v>
      </c>
      <c r="F100" s="60" t="s">
        <v>3756</v>
      </c>
      <c r="G100" s="60" t="s">
        <v>3750</v>
      </c>
      <c r="H100" s="60" t="s">
        <v>3751</v>
      </c>
      <c r="I100" s="60" t="s">
        <v>3757</v>
      </c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60" t="str">
        <f t="shared" si="1"/>
        <v>100</v>
      </c>
      <c r="B101" s="60" t="s">
        <v>395</v>
      </c>
      <c r="C101" s="60" t="s">
        <v>3758</v>
      </c>
      <c r="D101" s="60" t="s">
        <v>3759</v>
      </c>
      <c r="E101" s="60" t="s">
        <v>3760</v>
      </c>
      <c r="F101" s="60" t="s">
        <v>3761</v>
      </c>
      <c r="G101" s="60" t="s">
        <v>3762</v>
      </c>
      <c r="H101" s="60" t="s">
        <v>3763</v>
      </c>
      <c r="I101" s="60" t="s">
        <v>3764</v>
      </c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60" t="str">
        <f t="shared" si="1"/>
        <v>101</v>
      </c>
      <c r="B102" s="60" t="s">
        <v>397</v>
      </c>
      <c r="C102" s="60" t="s">
        <v>3765</v>
      </c>
      <c r="D102" s="60" t="s">
        <v>3766</v>
      </c>
      <c r="E102" s="60" t="s">
        <v>3767</v>
      </c>
      <c r="F102" s="60" t="s">
        <v>3768</v>
      </c>
      <c r="G102" s="60" t="s">
        <v>3769</v>
      </c>
      <c r="H102" s="60" t="s">
        <v>3770</v>
      </c>
      <c r="I102" s="60" t="s">
        <v>3771</v>
      </c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60" t="str">
        <f t="shared" si="1"/>
        <v>102</v>
      </c>
      <c r="B103" s="60" t="s">
        <v>399</v>
      </c>
      <c r="C103" s="60" t="s">
        <v>3772</v>
      </c>
      <c r="D103" s="60" t="s">
        <v>3773</v>
      </c>
      <c r="E103" s="60" t="s">
        <v>3774</v>
      </c>
      <c r="F103" s="60" t="s">
        <v>3775</v>
      </c>
      <c r="G103" s="60" t="s">
        <v>3776</v>
      </c>
      <c r="H103" s="60" t="s">
        <v>3777</v>
      </c>
      <c r="I103" s="60" t="s">
        <v>3778</v>
      </c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60" t="str">
        <f t="shared" si="1"/>
        <v>103</v>
      </c>
      <c r="B104" s="60" t="s">
        <v>401</v>
      </c>
      <c r="C104" s="60" t="s">
        <v>3779</v>
      </c>
      <c r="D104" s="60" t="s">
        <v>3780</v>
      </c>
      <c r="E104" s="60" t="s">
        <v>3781</v>
      </c>
      <c r="F104" s="60" t="s">
        <v>3782</v>
      </c>
      <c r="G104" s="60" t="s">
        <v>3783</v>
      </c>
      <c r="H104" s="60" t="s">
        <v>3784</v>
      </c>
      <c r="I104" s="60" t="s">
        <v>3785</v>
      </c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60" t="str">
        <f t="shared" si="1"/>
        <v>104</v>
      </c>
      <c r="B105" s="60" t="s">
        <v>403</v>
      </c>
      <c r="C105" s="60" t="s">
        <v>3786</v>
      </c>
      <c r="D105" s="60" t="s">
        <v>3787</v>
      </c>
      <c r="E105" s="60" t="s">
        <v>3788</v>
      </c>
      <c r="F105" s="60" t="s">
        <v>3789</v>
      </c>
      <c r="G105" s="60" t="s">
        <v>3744</v>
      </c>
      <c r="H105" s="60" t="s">
        <v>3790</v>
      </c>
      <c r="I105" s="60" t="s">
        <v>3791</v>
      </c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60" t="str">
        <f t="shared" si="1"/>
        <v>105</v>
      </c>
      <c r="B106" s="60" t="s">
        <v>405</v>
      </c>
      <c r="C106" s="60" t="s">
        <v>3792</v>
      </c>
      <c r="D106" s="60" t="s">
        <v>3793</v>
      </c>
      <c r="E106" s="60" t="s">
        <v>3794</v>
      </c>
      <c r="F106" s="60" t="s">
        <v>3795</v>
      </c>
      <c r="G106" s="60" t="s">
        <v>3796</v>
      </c>
      <c r="H106" s="60" t="s">
        <v>3797</v>
      </c>
      <c r="I106" s="60" t="s">
        <v>3798</v>
      </c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60" t="str">
        <f t="shared" si="1"/>
        <v>106</v>
      </c>
      <c r="B107" s="60" t="s">
        <v>413</v>
      </c>
      <c r="C107" s="60" t="s">
        <v>3799</v>
      </c>
      <c r="D107" s="60" t="s">
        <v>3800</v>
      </c>
      <c r="E107" s="60" t="s">
        <v>3801</v>
      </c>
      <c r="F107" s="60" t="s">
        <v>3802</v>
      </c>
      <c r="G107" s="60" t="s">
        <v>3796</v>
      </c>
      <c r="H107" s="60" t="s">
        <v>3803</v>
      </c>
      <c r="I107" s="60" t="s">
        <v>3804</v>
      </c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60" t="str">
        <f t="shared" si="1"/>
        <v>107</v>
      </c>
      <c r="B108" s="60" t="s">
        <v>415</v>
      </c>
      <c r="C108" s="60" t="s">
        <v>3805</v>
      </c>
      <c r="D108" s="60" t="s">
        <v>3806</v>
      </c>
      <c r="E108" s="60" t="s">
        <v>3807</v>
      </c>
      <c r="F108" s="60" t="s">
        <v>3808</v>
      </c>
      <c r="G108" s="60" t="s">
        <v>3809</v>
      </c>
      <c r="H108" s="60" t="s">
        <v>3810</v>
      </c>
      <c r="I108" s="60" t="s">
        <v>3811</v>
      </c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60" t="str">
        <f t="shared" si="1"/>
        <v>108</v>
      </c>
      <c r="B109" s="60" t="s">
        <v>417</v>
      </c>
      <c r="C109" s="60" t="s">
        <v>3812</v>
      </c>
      <c r="D109" s="60" t="s">
        <v>3813</v>
      </c>
      <c r="E109" s="60" t="s">
        <v>3814</v>
      </c>
      <c r="F109" s="60" t="s">
        <v>3815</v>
      </c>
      <c r="G109" s="60" t="s">
        <v>3816</v>
      </c>
      <c r="H109" s="60" t="s">
        <v>3817</v>
      </c>
      <c r="I109" s="60" t="s">
        <v>3818</v>
      </c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60" t="str">
        <f t="shared" si="1"/>
        <v>109</v>
      </c>
      <c r="B110" s="60" t="s">
        <v>419</v>
      </c>
      <c r="C110" s="60" t="s">
        <v>3819</v>
      </c>
      <c r="D110" s="60" t="s">
        <v>3820</v>
      </c>
      <c r="E110" s="60" t="s">
        <v>3821</v>
      </c>
      <c r="F110" s="60" t="s">
        <v>3822</v>
      </c>
      <c r="G110" s="60" t="s">
        <v>3816</v>
      </c>
      <c r="H110" s="60" t="s">
        <v>3823</v>
      </c>
      <c r="I110" s="60" t="s">
        <v>3824</v>
      </c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60" t="str">
        <f t="shared" si="1"/>
        <v>110</v>
      </c>
      <c r="B111" s="60" t="s">
        <v>421</v>
      </c>
      <c r="C111" s="60" t="s">
        <v>3825</v>
      </c>
      <c r="D111" s="60" t="s">
        <v>3826</v>
      </c>
      <c r="E111" s="60" t="s">
        <v>3827</v>
      </c>
      <c r="F111" s="60" t="s">
        <v>3795</v>
      </c>
      <c r="G111" s="60" t="s">
        <v>3828</v>
      </c>
      <c r="H111" s="60" t="s">
        <v>3829</v>
      </c>
      <c r="I111" s="60" t="s">
        <v>3830</v>
      </c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60" t="str">
        <f t="shared" si="1"/>
        <v>111</v>
      </c>
      <c r="B112" s="60" t="s">
        <v>424</v>
      </c>
      <c r="C112" s="60" t="s">
        <v>3831</v>
      </c>
      <c r="D112" s="60" t="s">
        <v>3832</v>
      </c>
      <c r="E112" s="60" t="s">
        <v>3833</v>
      </c>
      <c r="F112" s="60" t="s">
        <v>3834</v>
      </c>
      <c r="G112" s="60" t="s">
        <v>3816</v>
      </c>
      <c r="H112" s="60" t="s">
        <v>3835</v>
      </c>
      <c r="I112" s="60" t="s">
        <v>3811</v>
      </c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60" t="str">
        <f t="shared" si="1"/>
        <v>112</v>
      </c>
      <c r="B113" s="60" t="s">
        <v>411</v>
      </c>
      <c r="C113" s="60" t="s">
        <v>3836</v>
      </c>
      <c r="D113" s="60" t="s">
        <v>3837</v>
      </c>
      <c r="E113" s="60" t="s">
        <v>3838</v>
      </c>
      <c r="F113" s="60" t="s">
        <v>3839</v>
      </c>
      <c r="G113" s="60" t="s">
        <v>3840</v>
      </c>
      <c r="H113" s="60" t="s">
        <v>3835</v>
      </c>
      <c r="I113" s="60" t="s">
        <v>3811</v>
      </c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60" t="str">
        <f t="shared" si="1"/>
        <v>113</v>
      </c>
      <c r="B114" s="60" t="s">
        <v>427</v>
      </c>
      <c r="C114" s="60" t="s">
        <v>3841</v>
      </c>
      <c r="D114" s="60" t="s">
        <v>3842</v>
      </c>
      <c r="E114" s="60" t="s">
        <v>3843</v>
      </c>
      <c r="F114" s="60" t="s">
        <v>3844</v>
      </c>
      <c r="G114" s="60" t="s">
        <v>3845</v>
      </c>
      <c r="H114" s="60" t="s">
        <v>3846</v>
      </c>
      <c r="I114" s="60" t="s">
        <v>3847</v>
      </c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60" t="str">
        <f t="shared" si="1"/>
        <v>114</v>
      </c>
      <c r="B115" s="60" t="s">
        <v>429</v>
      </c>
      <c r="C115" s="60" t="s">
        <v>3848</v>
      </c>
      <c r="D115" s="60" t="s">
        <v>3849</v>
      </c>
      <c r="E115" s="60" t="s">
        <v>3850</v>
      </c>
      <c r="F115" s="60" t="s">
        <v>3851</v>
      </c>
      <c r="G115" s="60" t="s">
        <v>3816</v>
      </c>
      <c r="H115" s="60" t="s">
        <v>3846</v>
      </c>
      <c r="I115" s="60" t="s">
        <v>3852</v>
      </c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60" t="str">
        <f t="shared" si="1"/>
        <v>115</v>
      </c>
      <c r="B116" s="60" t="s">
        <v>431</v>
      </c>
      <c r="C116" s="60" t="s">
        <v>3853</v>
      </c>
      <c r="D116" s="60" t="s">
        <v>3854</v>
      </c>
      <c r="E116" s="60" t="s">
        <v>3855</v>
      </c>
      <c r="F116" s="60" t="s">
        <v>3856</v>
      </c>
      <c r="G116" s="60" t="s">
        <v>3857</v>
      </c>
      <c r="H116" s="60" t="s">
        <v>3858</v>
      </c>
      <c r="I116" s="60" t="s">
        <v>3859</v>
      </c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60" t="str">
        <f t="shared" si="1"/>
        <v>116</v>
      </c>
      <c r="B117" s="60" t="s">
        <v>438</v>
      </c>
      <c r="C117" s="60" t="s">
        <v>3860</v>
      </c>
      <c r="D117" s="60" t="s">
        <v>3861</v>
      </c>
      <c r="E117" s="60" t="s">
        <v>3862</v>
      </c>
      <c r="F117" s="60" t="s">
        <v>3863</v>
      </c>
      <c r="G117" s="60" t="s">
        <v>3857</v>
      </c>
      <c r="H117" s="60" t="s">
        <v>3864</v>
      </c>
      <c r="I117" s="60" t="s">
        <v>3865</v>
      </c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60" t="str">
        <f t="shared" si="1"/>
        <v>117</v>
      </c>
      <c r="B118" s="60" t="s">
        <v>441</v>
      </c>
      <c r="C118" s="60" t="s">
        <v>3866</v>
      </c>
      <c r="D118" s="60" t="s">
        <v>3867</v>
      </c>
      <c r="E118" s="60" t="s">
        <v>3868</v>
      </c>
      <c r="F118" s="60" t="s">
        <v>3869</v>
      </c>
      <c r="G118" s="60" t="s">
        <v>3857</v>
      </c>
      <c r="H118" s="60" t="s">
        <v>3864</v>
      </c>
      <c r="I118" s="60" t="s">
        <v>3865</v>
      </c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60" t="str">
        <f t="shared" si="1"/>
        <v>118</v>
      </c>
      <c r="B119" s="60" t="s">
        <v>443</v>
      </c>
      <c r="C119" s="60" t="s">
        <v>3870</v>
      </c>
      <c r="D119" s="60" t="s">
        <v>3871</v>
      </c>
      <c r="E119" s="60" t="s">
        <v>3872</v>
      </c>
      <c r="F119" s="60" t="s">
        <v>3873</v>
      </c>
      <c r="G119" s="60" t="s">
        <v>3874</v>
      </c>
      <c r="H119" s="60" t="s">
        <v>3864</v>
      </c>
      <c r="I119" s="60" t="s">
        <v>3865</v>
      </c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60" t="str">
        <f t="shared" si="1"/>
        <v>119</v>
      </c>
      <c r="B120" s="60" t="s">
        <v>447</v>
      </c>
      <c r="C120" s="60" t="s">
        <v>3875</v>
      </c>
      <c r="D120" s="60" t="s">
        <v>3876</v>
      </c>
      <c r="E120" s="60" t="s">
        <v>3877</v>
      </c>
      <c r="F120" s="60" t="s">
        <v>3878</v>
      </c>
      <c r="G120" s="60" t="s">
        <v>3857</v>
      </c>
      <c r="H120" s="60" t="s">
        <v>3858</v>
      </c>
      <c r="I120" s="60" t="s">
        <v>3859</v>
      </c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60" t="str">
        <f t="shared" si="1"/>
        <v>120</v>
      </c>
      <c r="B121" s="60" t="s">
        <v>449</v>
      </c>
      <c r="C121" s="60" t="s">
        <v>3879</v>
      </c>
      <c r="D121" s="60" t="s">
        <v>3880</v>
      </c>
      <c r="E121" s="60" t="s">
        <v>3881</v>
      </c>
      <c r="F121" s="60" t="s">
        <v>3882</v>
      </c>
      <c r="G121" s="60" t="s">
        <v>3857</v>
      </c>
      <c r="H121" s="60" t="s">
        <v>3864</v>
      </c>
      <c r="I121" s="60" t="s">
        <v>3865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60" t="str">
        <f t="shared" si="1"/>
        <v>121</v>
      </c>
      <c r="B122" s="60" t="s">
        <v>451</v>
      </c>
      <c r="C122" s="60" t="s">
        <v>3883</v>
      </c>
      <c r="D122" s="60" t="s">
        <v>3884</v>
      </c>
      <c r="E122" s="60" t="s">
        <v>3885</v>
      </c>
      <c r="F122" s="60" t="s">
        <v>3886</v>
      </c>
      <c r="G122" s="60" t="s">
        <v>3857</v>
      </c>
      <c r="H122" s="60" t="s">
        <v>3864</v>
      </c>
      <c r="I122" s="60" t="s">
        <v>3865</v>
      </c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60" t="str">
        <f t="shared" si="1"/>
        <v>122</v>
      </c>
      <c r="B123" s="60" t="s">
        <v>453</v>
      </c>
      <c r="C123" s="60" t="s">
        <v>3887</v>
      </c>
      <c r="D123" s="60" t="s">
        <v>3888</v>
      </c>
      <c r="E123" s="60" t="s">
        <v>3889</v>
      </c>
      <c r="F123" s="60" t="s">
        <v>3890</v>
      </c>
      <c r="G123" s="60" t="s">
        <v>3857</v>
      </c>
      <c r="H123" s="60" t="s">
        <v>3891</v>
      </c>
      <c r="I123" s="60" t="s">
        <v>3892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60" t="str">
        <f t="shared" si="1"/>
        <v>123</v>
      </c>
      <c r="B124" s="60" t="s">
        <v>455</v>
      </c>
      <c r="C124" s="60" t="s">
        <v>3893</v>
      </c>
      <c r="D124" s="60" t="s">
        <v>3894</v>
      </c>
      <c r="E124" s="60" t="s">
        <v>3895</v>
      </c>
      <c r="F124" s="60" t="s">
        <v>3896</v>
      </c>
      <c r="G124" s="60" t="s">
        <v>3857</v>
      </c>
      <c r="H124" s="60" t="s">
        <v>3864</v>
      </c>
      <c r="I124" s="60" t="s">
        <v>3897</v>
      </c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60" t="str">
        <f t="shared" si="1"/>
        <v>124</v>
      </c>
      <c r="B125" s="60" t="s">
        <v>457</v>
      </c>
      <c r="C125" s="60" t="s">
        <v>3898</v>
      </c>
      <c r="D125" s="60" t="s">
        <v>3899</v>
      </c>
      <c r="E125" s="60" t="s">
        <v>3900</v>
      </c>
      <c r="F125" s="60" t="s">
        <v>3901</v>
      </c>
      <c r="G125" s="60" t="s">
        <v>3857</v>
      </c>
      <c r="H125" s="60" t="s">
        <v>3864</v>
      </c>
      <c r="I125" s="60" t="s">
        <v>3865</v>
      </c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60" t="str">
        <f t="shared" si="1"/>
        <v>125</v>
      </c>
      <c r="B126" s="60" t="s">
        <v>459</v>
      </c>
      <c r="C126" s="60" t="s">
        <v>3902</v>
      </c>
      <c r="D126" s="60" t="s">
        <v>3903</v>
      </c>
      <c r="E126" s="60" t="s">
        <v>3904</v>
      </c>
      <c r="F126" s="60" t="s">
        <v>3905</v>
      </c>
      <c r="G126" s="60" t="s">
        <v>3857</v>
      </c>
      <c r="H126" s="60" t="s">
        <v>3906</v>
      </c>
      <c r="I126" s="60" t="s">
        <v>3907</v>
      </c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60" t="str">
        <f t="shared" si="1"/>
        <v>126</v>
      </c>
      <c r="B127" s="60" t="s">
        <v>469</v>
      </c>
      <c r="C127" s="60" t="s">
        <v>3908</v>
      </c>
      <c r="D127" s="60" t="s">
        <v>3909</v>
      </c>
      <c r="E127" s="60" t="s">
        <v>3910</v>
      </c>
      <c r="F127" s="60" t="s">
        <v>3911</v>
      </c>
      <c r="G127" s="60" t="s">
        <v>3857</v>
      </c>
      <c r="H127" s="60" t="s">
        <v>3906</v>
      </c>
      <c r="I127" s="60" t="s">
        <v>3907</v>
      </c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60" t="str">
        <f t="shared" si="1"/>
        <v>127</v>
      </c>
      <c r="B128" s="60" t="s">
        <v>472</v>
      </c>
      <c r="C128" s="60" t="s">
        <v>3912</v>
      </c>
      <c r="D128" s="60" t="s">
        <v>3913</v>
      </c>
      <c r="E128" s="60" t="s">
        <v>3914</v>
      </c>
      <c r="F128" s="60" t="s">
        <v>3915</v>
      </c>
      <c r="G128" s="60" t="s">
        <v>3857</v>
      </c>
      <c r="H128" s="60" t="s">
        <v>3916</v>
      </c>
      <c r="I128" s="60" t="s">
        <v>3917</v>
      </c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60" t="str">
        <f t="shared" si="1"/>
        <v>128</v>
      </c>
      <c r="B129" s="60" t="s">
        <v>477</v>
      </c>
      <c r="C129" s="60" t="s">
        <v>3918</v>
      </c>
      <c r="D129" s="60" t="s">
        <v>3919</v>
      </c>
      <c r="E129" s="60" t="s">
        <v>3920</v>
      </c>
      <c r="F129" s="60" t="s">
        <v>3921</v>
      </c>
      <c r="G129" s="60" t="s">
        <v>3857</v>
      </c>
      <c r="H129" s="60" t="s">
        <v>3916</v>
      </c>
      <c r="I129" s="60" t="s">
        <v>3917</v>
      </c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60" t="str">
        <f t="shared" si="1"/>
        <v>129</v>
      </c>
      <c r="B130" s="60" t="s">
        <v>480</v>
      </c>
      <c r="C130" s="60" t="s">
        <v>3922</v>
      </c>
      <c r="D130" s="60" t="s">
        <v>3923</v>
      </c>
      <c r="E130" s="60" t="s">
        <v>3924</v>
      </c>
      <c r="F130" s="60" t="s">
        <v>3925</v>
      </c>
      <c r="G130" s="60" t="s">
        <v>3857</v>
      </c>
      <c r="H130" s="60" t="s">
        <v>3846</v>
      </c>
      <c r="I130" s="60" t="s">
        <v>3926</v>
      </c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60" t="str">
        <f t="shared" si="1"/>
        <v>130</v>
      </c>
      <c r="B131" s="60" t="s">
        <v>483</v>
      </c>
      <c r="C131" s="60" t="s">
        <v>3927</v>
      </c>
      <c r="D131" s="60" t="s">
        <v>3928</v>
      </c>
      <c r="E131" s="60" t="s">
        <v>3929</v>
      </c>
      <c r="F131" s="60" t="s">
        <v>3930</v>
      </c>
      <c r="G131" s="60" t="s">
        <v>3857</v>
      </c>
      <c r="H131" s="60" t="s">
        <v>3931</v>
      </c>
      <c r="I131" s="60" t="s">
        <v>3926</v>
      </c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60" t="str">
        <f t="shared" si="1"/>
        <v>131</v>
      </c>
      <c r="B132" s="60" t="s">
        <v>485</v>
      </c>
      <c r="C132" s="60" t="s">
        <v>3932</v>
      </c>
      <c r="D132" s="60" t="s">
        <v>3933</v>
      </c>
      <c r="E132" s="60" t="s">
        <v>3934</v>
      </c>
      <c r="F132" s="60" t="s">
        <v>3935</v>
      </c>
      <c r="G132" s="60" t="s">
        <v>3857</v>
      </c>
      <c r="H132" s="60" t="s">
        <v>3936</v>
      </c>
      <c r="I132" s="60" t="s">
        <v>3937</v>
      </c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60" t="str">
        <f t="shared" si="1"/>
        <v>132</v>
      </c>
      <c r="B133" s="60" t="s">
        <v>487</v>
      </c>
      <c r="C133" s="60" t="s">
        <v>3938</v>
      </c>
      <c r="D133" s="60" t="s">
        <v>3939</v>
      </c>
      <c r="E133" s="60" t="s">
        <v>3940</v>
      </c>
      <c r="F133" s="60" t="s">
        <v>3941</v>
      </c>
      <c r="G133" s="60" t="s">
        <v>3857</v>
      </c>
      <c r="H133" s="60" t="s">
        <v>3936</v>
      </c>
      <c r="I133" s="60" t="s">
        <v>3937</v>
      </c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60" t="str">
        <f t="shared" si="1"/>
        <v>133</v>
      </c>
      <c r="B134" s="60" t="s">
        <v>489</v>
      </c>
      <c r="C134" s="60" t="s">
        <v>3942</v>
      </c>
      <c r="D134" s="60" t="s">
        <v>3943</v>
      </c>
      <c r="E134" s="60" t="s">
        <v>3944</v>
      </c>
      <c r="F134" s="60" t="s">
        <v>3945</v>
      </c>
      <c r="G134" s="60" t="s">
        <v>3857</v>
      </c>
      <c r="H134" s="60" t="s">
        <v>3846</v>
      </c>
      <c r="I134" s="60" t="s">
        <v>3926</v>
      </c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60" t="str">
        <f t="shared" si="1"/>
        <v>134</v>
      </c>
      <c r="B135" s="66" t="s">
        <v>491</v>
      </c>
      <c r="C135" s="66" t="s">
        <v>3946</v>
      </c>
      <c r="D135" s="66" t="s">
        <v>3947</v>
      </c>
      <c r="E135" s="66" t="s">
        <v>3948</v>
      </c>
      <c r="F135" s="66" t="s">
        <v>3949</v>
      </c>
      <c r="G135" s="66" t="s">
        <v>3950</v>
      </c>
      <c r="H135" s="66" t="s">
        <v>3951</v>
      </c>
      <c r="I135" s="66" t="s">
        <v>3952</v>
      </c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60" t="str">
        <f t="shared" si="1"/>
        <v>135</v>
      </c>
      <c r="B136" s="66" t="s">
        <v>491</v>
      </c>
      <c r="C136" s="66" t="s">
        <v>3953</v>
      </c>
      <c r="D136" s="66" t="s">
        <v>3954</v>
      </c>
      <c r="E136" s="66" t="s">
        <v>3955</v>
      </c>
      <c r="F136" s="66" t="s">
        <v>3956</v>
      </c>
      <c r="G136" s="66" t="s">
        <v>3957</v>
      </c>
      <c r="H136" s="66" t="s">
        <v>3958</v>
      </c>
      <c r="I136" s="66" t="s">
        <v>3959</v>
      </c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60" t="str">
        <f t="shared" si="1"/>
        <v>136</v>
      </c>
      <c r="B137" s="66" t="s">
        <v>493</v>
      </c>
      <c r="C137" s="66" t="s">
        <v>3960</v>
      </c>
      <c r="D137" s="66" t="s">
        <v>3961</v>
      </c>
      <c r="E137" s="66" t="s">
        <v>3962</v>
      </c>
      <c r="F137" s="66" t="s">
        <v>3963</v>
      </c>
      <c r="G137" s="66" t="s">
        <v>3964</v>
      </c>
      <c r="H137" s="66" t="s">
        <v>3965</v>
      </c>
      <c r="I137" s="66" t="s">
        <v>3966</v>
      </c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60" t="str">
        <f t="shared" si="1"/>
        <v>137</v>
      </c>
      <c r="B138" s="66" t="s">
        <v>499</v>
      </c>
      <c r="C138" s="66" t="s">
        <v>3967</v>
      </c>
      <c r="D138" s="66" t="s">
        <v>3968</v>
      </c>
      <c r="E138" s="66" t="s">
        <v>3969</v>
      </c>
      <c r="F138" s="66" t="s">
        <v>3970</v>
      </c>
      <c r="G138" s="66" t="s">
        <v>3971</v>
      </c>
      <c r="H138" s="66" t="s">
        <v>3972</v>
      </c>
      <c r="I138" s="66" t="s">
        <v>3973</v>
      </c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60" t="str">
        <f t="shared" si="1"/>
        <v>138</v>
      </c>
      <c r="B139" s="66" t="s">
        <v>503</v>
      </c>
      <c r="C139" s="66" t="s">
        <v>3974</v>
      </c>
      <c r="D139" s="66" t="s">
        <v>3975</v>
      </c>
      <c r="E139" s="66" t="s">
        <v>3976</v>
      </c>
      <c r="F139" s="66" t="s">
        <v>3977</v>
      </c>
      <c r="G139" s="66" t="s">
        <v>3978</v>
      </c>
      <c r="H139" s="66" t="s">
        <v>3979</v>
      </c>
      <c r="I139" s="66" t="s">
        <v>3980</v>
      </c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60" t="str">
        <f t="shared" si="1"/>
        <v>139</v>
      </c>
      <c r="B140" s="66" t="s">
        <v>505</v>
      </c>
      <c r="C140" s="66" t="s">
        <v>3981</v>
      </c>
      <c r="D140" s="66" t="s">
        <v>3982</v>
      </c>
      <c r="E140" s="66" t="s">
        <v>3983</v>
      </c>
      <c r="F140" s="66" t="s">
        <v>3984</v>
      </c>
      <c r="G140" s="66" t="s">
        <v>3985</v>
      </c>
      <c r="H140" s="66" t="s">
        <v>3986</v>
      </c>
      <c r="I140" s="66" t="s">
        <v>3987</v>
      </c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60" t="str">
        <f t="shared" si="1"/>
        <v>140</v>
      </c>
      <c r="B141" s="66" t="s">
        <v>507</v>
      </c>
      <c r="C141" s="66" t="s">
        <v>3988</v>
      </c>
      <c r="D141" s="66" t="s">
        <v>3989</v>
      </c>
      <c r="E141" s="66" t="s">
        <v>3990</v>
      </c>
      <c r="F141" s="66" t="s">
        <v>3991</v>
      </c>
      <c r="G141" s="66" t="s">
        <v>3992</v>
      </c>
      <c r="H141" s="66" t="s">
        <v>3993</v>
      </c>
      <c r="I141" s="66" t="s">
        <v>3994</v>
      </c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60" t="str">
        <f t="shared" si="1"/>
        <v>141</v>
      </c>
      <c r="B142" s="66" t="s">
        <v>510</v>
      </c>
      <c r="C142" s="66" t="s">
        <v>3995</v>
      </c>
      <c r="D142" s="66" t="s">
        <v>3996</v>
      </c>
      <c r="E142" s="66" t="s">
        <v>3997</v>
      </c>
      <c r="F142" s="66" t="s">
        <v>3998</v>
      </c>
      <c r="G142" s="66" t="s">
        <v>3999</v>
      </c>
      <c r="H142" s="66" t="s">
        <v>4000</v>
      </c>
      <c r="I142" s="66" t="s">
        <v>4001</v>
      </c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60" t="str">
        <f t="shared" si="1"/>
        <v>142</v>
      </c>
      <c r="B143" s="66" t="s">
        <v>512</v>
      </c>
      <c r="C143" s="66" t="s">
        <v>4002</v>
      </c>
      <c r="D143" s="66" t="s">
        <v>4003</v>
      </c>
      <c r="E143" s="66" t="s">
        <v>4004</v>
      </c>
      <c r="F143" s="66" t="s">
        <v>4005</v>
      </c>
      <c r="G143" s="66" t="s">
        <v>4006</v>
      </c>
      <c r="H143" s="66" t="s">
        <v>4007</v>
      </c>
      <c r="I143" s="66" t="s">
        <v>4008</v>
      </c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60" t="str">
        <f t="shared" si="1"/>
        <v>143</v>
      </c>
      <c r="B144" s="66" t="s">
        <v>514</v>
      </c>
      <c r="C144" s="66" t="s">
        <v>4009</v>
      </c>
      <c r="D144" s="66" t="s">
        <v>4010</v>
      </c>
      <c r="E144" s="66" t="s">
        <v>4011</v>
      </c>
      <c r="F144" s="66" t="s">
        <v>4012</v>
      </c>
      <c r="G144" s="66" t="s">
        <v>4013</v>
      </c>
      <c r="H144" s="66" t="s">
        <v>4014</v>
      </c>
      <c r="I144" s="66" t="s">
        <v>4015</v>
      </c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60" t="str">
        <f t="shared" si="1"/>
        <v>144</v>
      </c>
      <c r="B145" s="66" t="s">
        <v>516</v>
      </c>
      <c r="C145" s="66" t="s">
        <v>4016</v>
      </c>
      <c r="D145" s="66" t="s">
        <v>4017</v>
      </c>
      <c r="E145" s="66" t="s">
        <v>4018</v>
      </c>
      <c r="F145" s="66" t="s">
        <v>4019</v>
      </c>
      <c r="G145" s="66" t="s">
        <v>4020</v>
      </c>
      <c r="H145" s="66" t="s">
        <v>4021</v>
      </c>
      <c r="I145" s="66" t="s">
        <v>4022</v>
      </c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60" t="str">
        <f t="shared" si="1"/>
        <v>145</v>
      </c>
      <c r="B146" s="66" t="s">
        <v>518</v>
      </c>
      <c r="C146" s="66" t="s">
        <v>4023</v>
      </c>
      <c r="D146" s="66" t="s">
        <v>4024</v>
      </c>
      <c r="E146" s="66" t="s">
        <v>4025</v>
      </c>
      <c r="F146" s="66" t="s">
        <v>4026</v>
      </c>
      <c r="G146" s="66" t="s">
        <v>4020</v>
      </c>
      <c r="H146" s="66" t="s">
        <v>4027</v>
      </c>
      <c r="I146" s="66" t="s">
        <v>4028</v>
      </c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60" t="str">
        <f t="shared" si="1"/>
        <v>146</v>
      </c>
      <c r="B147" s="66" t="s">
        <v>520</v>
      </c>
      <c r="C147" s="66" t="s">
        <v>4029</v>
      </c>
      <c r="D147" s="66" t="s">
        <v>4030</v>
      </c>
      <c r="E147" s="66" t="s">
        <v>4031</v>
      </c>
      <c r="F147" s="66" t="s">
        <v>4032</v>
      </c>
      <c r="G147" s="66" t="s">
        <v>4033</v>
      </c>
      <c r="H147" s="66" t="s">
        <v>4034</v>
      </c>
      <c r="I147" s="66" t="s">
        <v>4035</v>
      </c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60" t="str">
        <f t="shared" si="1"/>
        <v>147</v>
      </c>
      <c r="B148" s="66" t="s">
        <v>527</v>
      </c>
      <c r="C148" s="66" t="s">
        <v>4036</v>
      </c>
      <c r="D148" s="66" t="s">
        <v>4037</v>
      </c>
      <c r="E148" s="66" t="s">
        <v>4038</v>
      </c>
      <c r="F148" s="66" t="s">
        <v>4039</v>
      </c>
      <c r="G148" s="66" t="s">
        <v>4040</v>
      </c>
      <c r="H148" s="66" t="s">
        <v>4041</v>
      </c>
      <c r="I148" s="66" t="s">
        <v>4042</v>
      </c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60" t="str">
        <f t="shared" si="1"/>
        <v>148</v>
      </c>
      <c r="B149" s="66" t="s">
        <v>530</v>
      </c>
      <c r="C149" s="66" t="s">
        <v>4043</v>
      </c>
      <c r="D149" s="66" t="s">
        <v>4044</v>
      </c>
      <c r="E149" s="66" t="s">
        <v>4045</v>
      </c>
      <c r="F149" s="66" t="s">
        <v>4046</v>
      </c>
      <c r="G149" s="66" t="s">
        <v>4047</v>
      </c>
      <c r="H149" s="66" t="s">
        <v>4048</v>
      </c>
      <c r="I149" s="66" t="s">
        <v>4049</v>
      </c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60" t="str">
        <f t="shared" si="1"/>
        <v>149</v>
      </c>
      <c r="B150" s="66" t="s">
        <v>533</v>
      </c>
      <c r="C150" s="66" t="s">
        <v>4050</v>
      </c>
      <c r="D150" s="66" t="s">
        <v>4051</v>
      </c>
      <c r="E150" s="66" t="s">
        <v>4052</v>
      </c>
      <c r="F150" s="66" t="s">
        <v>4053</v>
      </c>
      <c r="G150" s="66" t="s">
        <v>4054</v>
      </c>
      <c r="H150" s="66" t="s">
        <v>4055</v>
      </c>
      <c r="I150" s="66" t="s">
        <v>4056</v>
      </c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60" t="str">
        <f t="shared" si="1"/>
        <v>150</v>
      </c>
      <c r="B151" s="66" t="s">
        <v>535</v>
      </c>
      <c r="C151" s="66" t="s">
        <v>4057</v>
      </c>
      <c r="D151" s="66" t="s">
        <v>4058</v>
      </c>
      <c r="E151" s="66" t="s">
        <v>4059</v>
      </c>
      <c r="F151" s="66" t="s">
        <v>4060</v>
      </c>
      <c r="G151" s="66" t="s">
        <v>4040</v>
      </c>
      <c r="H151" s="66" t="s">
        <v>4061</v>
      </c>
      <c r="I151" s="66" t="s">
        <v>4062</v>
      </c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60" t="str">
        <f t="shared" si="1"/>
        <v>151</v>
      </c>
      <c r="B152" s="66" t="s">
        <v>537</v>
      </c>
      <c r="C152" s="66" t="s">
        <v>4063</v>
      </c>
      <c r="D152" s="66" t="s">
        <v>4064</v>
      </c>
      <c r="E152" s="66" t="s">
        <v>4065</v>
      </c>
      <c r="F152" s="66" t="s">
        <v>4066</v>
      </c>
      <c r="G152" s="66" t="s">
        <v>4067</v>
      </c>
      <c r="H152" s="66" t="s">
        <v>4068</v>
      </c>
      <c r="I152" s="66" t="s">
        <v>4069</v>
      </c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60" t="str">
        <f t="shared" si="1"/>
        <v>152</v>
      </c>
      <c r="B153" s="66" t="s">
        <v>539</v>
      </c>
      <c r="C153" s="66" t="s">
        <v>4070</v>
      </c>
      <c r="D153" s="66" t="s">
        <v>4071</v>
      </c>
      <c r="E153" s="66" t="s">
        <v>4072</v>
      </c>
      <c r="F153" s="66" t="s">
        <v>4073</v>
      </c>
      <c r="G153" s="66" t="s">
        <v>4074</v>
      </c>
      <c r="H153" s="66" t="s">
        <v>4075</v>
      </c>
      <c r="I153" s="66" t="s">
        <v>4076</v>
      </c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60" t="str">
        <f t="shared" si="1"/>
        <v>153</v>
      </c>
      <c r="B154" s="66" t="s">
        <v>541</v>
      </c>
      <c r="C154" s="66" t="s">
        <v>4077</v>
      </c>
      <c r="D154" s="66" t="s">
        <v>4078</v>
      </c>
      <c r="E154" s="66" t="s">
        <v>4079</v>
      </c>
      <c r="F154" s="66" t="s">
        <v>4080</v>
      </c>
      <c r="G154" s="66" t="s">
        <v>4081</v>
      </c>
      <c r="H154" s="66" t="s">
        <v>4082</v>
      </c>
      <c r="I154" s="66" t="s">
        <v>4083</v>
      </c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60" t="str">
        <f t="shared" si="1"/>
        <v>154</v>
      </c>
      <c r="B155" s="66" t="s">
        <v>543</v>
      </c>
      <c r="C155" s="66" t="s">
        <v>4084</v>
      </c>
      <c r="D155" s="66" t="s">
        <v>4085</v>
      </c>
      <c r="E155" s="66" t="s">
        <v>4086</v>
      </c>
      <c r="F155" s="66" t="s">
        <v>4087</v>
      </c>
      <c r="G155" s="66" t="s">
        <v>4088</v>
      </c>
      <c r="H155" s="66" t="s">
        <v>4089</v>
      </c>
      <c r="I155" s="66" t="s">
        <v>4090</v>
      </c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60" t="str">
        <f t="shared" si="1"/>
        <v>155</v>
      </c>
      <c r="B156" s="66" t="s">
        <v>545</v>
      </c>
      <c r="C156" s="66" t="s">
        <v>4091</v>
      </c>
      <c r="D156" s="66" t="s">
        <v>4092</v>
      </c>
      <c r="E156" s="66" t="s">
        <v>4093</v>
      </c>
      <c r="F156" s="66" t="s">
        <v>4094</v>
      </c>
      <c r="G156" s="66" t="s">
        <v>4095</v>
      </c>
      <c r="H156" s="66" t="s">
        <v>4096</v>
      </c>
      <c r="I156" s="66" t="s">
        <v>4097</v>
      </c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60" t="str">
        <f t="shared" si="1"/>
        <v>156</v>
      </c>
      <c r="B157" s="66" t="s">
        <v>547</v>
      </c>
      <c r="C157" s="66" t="s">
        <v>4098</v>
      </c>
      <c r="D157" s="66" t="s">
        <v>4099</v>
      </c>
      <c r="E157" s="66" t="s">
        <v>4100</v>
      </c>
      <c r="F157" s="66" t="s">
        <v>4101</v>
      </c>
      <c r="G157" s="66" t="s">
        <v>4102</v>
      </c>
      <c r="H157" s="66" t="s">
        <v>4103</v>
      </c>
      <c r="I157" s="66" t="s">
        <v>4104</v>
      </c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60" t="str">
        <f t="shared" si="1"/>
        <v>157</v>
      </c>
      <c r="B158" s="66" t="s">
        <v>554</v>
      </c>
      <c r="C158" s="66" t="s">
        <v>4105</v>
      </c>
      <c r="D158" s="66" t="s">
        <v>4106</v>
      </c>
      <c r="E158" s="66" t="s">
        <v>4107</v>
      </c>
      <c r="F158" s="66" t="s">
        <v>4108</v>
      </c>
      <c r="G158" s="66" t="s">
        <v>4109</v>
      </c>
      <c r="H158" s="66" t="s">
        <v>4110</v>
      </c>
      <c r="I158" s="66" t="s">
        <v>4111</v>
      </c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60" t="str">
        <f t="shared" si="1"/>
        <v>158</v>
      </c>
      <c r="B159" s="66" t="s">
        <v>556</v>
      </c>
      <c r="C159" s="66" t="s">
        <v>4112</v>
      </c>
      <c r="D159" s="66" t="s">
        <v>4113</v>
      </c>
      <c r="E159" s="66" t="s">
        <v>4114</v>
      </c>
      <c r="F159" s="66" t="s">
        <v>4115</v>
      </c>
      <c r="G159" s="66" t="s">
        <v>4047</v>
      </c>
      <c r="H159" s="66" t="s">
        <v>4116</v>
      </c>
      <c r="I159" s="66" t="s">
        <v>4117</v>
      </c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60" t="str">
        <f t="shared" si="1"/>
        <v>159</v>
      </c>
      <c r="B160" s="66" t="s">
        <v>559</v>
      </c>
      <c r="C160" s="66" t="s">
        <v>4118</v>
      </c>
      <c r="D160" s="66" t="s">
        <v>4119</v>
      </c>
      <c r="E160" s="66" t="s">
        <v>4120</v>
      </c>
      <c r="F160" s="66" t="s">
        <v>4121</v>
      </c>
      <c r="G160" s="66" t="s">
        <v>4122</v>
      </c>
      <c r="H160" s="66" t="s">
        <v>4123</v>
      </c>
      <c r="I160" s="66" t="s">
        <v>4124</v>
      </c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60" t="str">
        <f t="shared" si="1"/>
        <v>160</v>
      </c>
      <c r="B161" s="66" t="s">
        <v>561</v>
      </c>
      <c r="C161" s="66" t="s">
        <v>4125</v>
      </c>
      <c r="D161" s="66" t="s">
        <v>4126</v>
      </c>
      <c r="E161" s="66" t="s">
        <v>4127</v>
      </c>
      <c r="F161" s="66" t="s">
        <v>4128</v>
      </c>
      <c r="G161" s="66" t="s">
        <v>4109</v>
      </c>
      <c r="H161" s="66" t="s">
        <v>4129</v>
      </c>
      <c r="I161" s="66" t="s">
        <v>4130</v>
      </c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60" t="str">
        <f t="shared" si="1"/>
        <v>161</v>
      </c>
      <c r="B162" s="66" t="s">
        <v>563</v>
      </c>
      <c r="C162" s="66" t="s">
        <v>4131</v>
      </c>
      <c r="D162" s="66" t="s">
        <v>4132</v>
      </c>
      <c r="E162" s="66" t="s">
        <v>4133</v>
      </c>
      <c r="F162" s="66" t="s">
        <v>4134</v>
      </c>
      <c r="G162" s="66" t="s">
        <v>4135</v>
      </c>
      <c r="H162" s="66" t="s">
        <v>4136</v>
      </c>
      <c r="I162" s="66" t="s">
        <v>4137</v>
      </c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60" t="str">
        <f t="shared" si="1"/>
        <v>162</v>
      </c>
      <c r="B163" s="66" t="s">
        <v>565</v>
      </c>
      <c r="C163" s="66" t="s">
        <v>4138</v>
      </c>
      <c r="D163" s="66" t="s">
        <v>4139</v>
      </c>
      <c r="E163" s="66" t="s">
        <v>4140</v>
      </c>
      <c r="F163" s="66" t="s">
        <v>4141</v>
      </c>
      <c r="G163" s="66" t="s">
        <v>4135</v>
      </c>
      <c r="H163" s="66" t="s">
        <v>4142</v>
      </c>
      <c r="I163" s="66" t="s">
        <v>4143</v>
      </c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60" t="str">
        <f t="shared" si="1"/>
        <v>163</v>
      </c>
      <c r="B164" s="66" t="s">
        <v>567</v>
      </c>
      <c r="C164" s="66" t="s">
        <v>4144</v>
      </c>
      <c r="D164" s="66" t="s">
        <v>4145</v>
      </c>
      <c r="E164" s="66" t="s">
        <v>4146</v>
      </c>
      <c r="F164" s="66" t="s">
        <v>4147</v>
      </c>
      <c r="G164" s="66" t="s">
        <v>4135</v>
      </c>
      <c r="H164" s="66" t="s">
        <v>4148</v>
      </c>
      <c r="I164" s="66" t="s">
        <v>4130</v>
      </c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60" t="str">
        <f t="shared" si="1"/>
        <v>164</v>
      </c>
      <c r="B165" s="66" t="s">
        <v>569</v>
      </c>
      <c r="C165" s="66" t="s">
        <v>4149</v>
      </c>
      <c r="D165" s="66" t="s">
        <v>4150</v>
      </c>
      <c r="E165" s="66" t="s">
        <v>4151</v>
      </c>
      <c r="F165" s="66" t="s">
        <v>4152</v>
      </c>
      <c r="G165" s="66" t="s">
        <v>4153</v>
      </c>
      <c r="H165" s="66" t="s">
        <v>4154</v>
      </c>
      <c r="I165" s="66" t="s">
        <v>4155</v>
      </c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60" t="str">
        <f t="shared" si="1"/>
        <v>165</v>
      </c>
      <c r="B166" s="66" t="s">
        <v>579</v>
      </c>
      <c r="C166" s="66" t="s">
        <v>4156</v>
      </c>
      <c r="D166" s="66" t="s">
        <v>4157</v>
      </c>
      <c r="E166" s="66" t="s">
        <v>4158</v>
      </c>
      <c r="F166" s="66" t="s">
        <v>4159</v>
      </c>
      <c r="G166" s="66" t="s">
        <v>3992</v>
      </c>
      <c r="H166" s="66" t="s">
        <v>4160</v>
      </c>
      <c r="I166" s="66" t="s">
        <v>4161</v>
      </c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60" t="str">
        <f t="shared" si="1"/>
        <v>166</v>
      </c>
      <c r="B167" s="66" t="s">
        <v>581</v>
      </c>
      <c r="C167" s="66" t="s">
        <v>4162</v>
      </c>
      <c r="D167" s="66" t="s">
        <v>4163</v>
      </c>
      <c r="E167" s="66" t="s">
        <v>4164</v>
      </c>
      <c r="F167" s="66" t="s">
        <v>4165</v>
      </c>
      <c r="G167" s="66" t="s">
        <v>4166</v>
      </c>
      <c r="H167" s="66" t="s">
        <v>4167</v>
      </c>
      <c r="I167" s="66" t="s">
        <v>4168</v>
      </c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60" t="str">
        <f t="shared" si="1"/>
        <v>167</v>
      </c>
      <c r="B168" s="66" t="s">
        <v>585</v>
      </c>
      <c r="C168" s="66" t="s">
        <v>4169</v>
      </c>
      <c r="D168" s="66" t="s">
        <v>4170</v>
      </c>
      <c r="E168" s="66" t="s">
        <v>4171</v>
      </c>
      <c r="F168" s="66" t="s">
        <v>4172</v>
      </c>
      <c r="G168" s="66" t="s">
        <v>4173</v>
      </c>
      <c r="H168" s="66" t="s">
        <v>4174</v>
      </c>
      <c r="I168" s="66" t="s">
        <v>4175</v>
      </c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60" t="str">
        <f t="shared" si="1"/>
        <v>168</v>
      </c>
      <c r="B169" s="66" t="s">
        <v>587</v>
      </c>
      <c r="C169" s="66" t="s">
        <v>4176</v>
      </c>
      <c r="D169" s="66" t="s">
        <v>4177</v>
      </c>
      <c r="E169" s="66" t="s">
        <v>4178</v>
      </c>
      <c r="F169" s="66" t="s">
        <v>4179</v>
      </c>
      <c r="G169" s="66" t="s">
        <v>4180</v>
      </c>
      <c r="H169" s="66" t="s">
        <v>4181</v>
      </c>
      <c r="I169" s="66" t="s">
        <v>4182</v>
      </c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60" t="str">
        <f t="shared" si="1"/>
        <v>169</v>
      </c>
      <c r="B170" s="66" t="s">
        <v>589</v>
      </c>
      <c r="C170" s="66" t="s">
        <v>4183</v>
      </c>
      <c r="D170" s="66" t="s">
        <v>4184</v>
      </c>
      <c r="E170" s="66" t="s">
        <v>4185</v>
      </c>
      <c r="F170" s="66" t="s">
        <v>4186</v>
      </c>
      <c r="G170" s="66" t="s">
        <v>4153</v>
      </c>
      <c r="H170" s="66" t="s">
        <v>4187</v>
      </c>
      <c r="I170" s="66" t="s">
        <v>4188</v>
      </c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60" t="str">
        <f t="shared" si="1"/>
        <v>170</v>
      </c>
      <c r="B171" s="66" t="s">
        <v>591</v>
      </c>
      <c r="C171" s="66" t="s">
        <v>4189</v>
      </c>
      <c r="D171" s="66" t="s">
        <v>4190</v>
      </c>
      <c r="E171" s="66" t="s">
        <v>4191</v>
      </c>
      <c r="F171" s="66" t="s">
        <v>4192</v>
      </c>
      <c r="G171" s="66" t="s">
        <v>4193</v>
      </c>
      <c r="H171" s="66" t="s">
        <v>4194</v>
      </c>
      <c r="I171" s="66" t="s">
        <v>4195</v>
      </c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60" t="str">
        <f t="shared" si="1"/>
        <v>171</v>
      </c>
      <c r="B172" s="66" t="s">
        <v>593</v>
      </c>
      <c r="C172" s="66" t="s">
        <v>4196</v>
      </c>
      <c r="D172" s="66" t="s">
        <v>4197</v>
      </c>
      <c r="E172" s="66" t="s">
        <v>4198</v>
      </c>
      <c r="F172" s="66" t="s">
        <v>4199</v>
      </c>
      <c r="G172" s="66" t="s">
        <v>4166</v>
      </c>
      <c r="H172" s="66" t="s">
        <v>4200</v>
      </c>
      <c r="I172" s="66" t="s">
        <v>4201</v>
      </c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60" t="str">
        <f t="shared" si="1"/>
        <v>172</v>
      </c>
      <c r="B173" s="66" t="s">
        <v>403</v>
      </c>
      <c r="C173" s="66" t="s">
        <v>4202</v>
      </c>
      <c r="D173" s="66" t="s">
        <v>4203</v>
      </c>
      <c r="E173" s="66" t="s">
        <v>4204</v>
      </c>
      <c r="F173" s="66" t="s">
        <v>4205</v>
      </c>
      <c r="G173" s="66" t="s">
        <v>4206</v>
      </c>
      <c r="H173" s="66" t="s">
        <v>4207</v>
      </c>
      <c r="I173" s="66" t="s">
        <v>4208</v>
      </c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60" t="str">
        <f t="shared" si="1"/>
        <v>173</v>
      </c>
      <c r="B174" s="66" t="s">
        <v>602</v>
      </c>
      <c r="C174" s="66" t="s">
        <v>4209</v>
      </c>
      <c r="D174" s="66" t="s">
        <v>4210</v>
      </c>
      <c r="E174" s="66" t="s">
        <v>4211</v>
      </c>
      <c r="F174" s="66" t="s">
        <v>4212</v>
      </c>
      <c r="G174" s="66" t="s">
        <v>4193</v>
      </c>
      <c r="H174" s="66" t="s">
        <v>4213</v>
      </c>
      <c r="I174" s="66" t="s">
        <v>4214</v>
      </c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60" t="str">
        <f t="shared" si="1"/>
        <v>174</v>
      </c>
      <c r="B175" s="66" t="s">
        <v>605</v>
      </c>
      <c r="C175" s="66" t="s">
        <v>4215</v>
      </c>
      <c r="D175" s="66" t="s">
        <v>4216</v>
      </c>
      <c r="E175" s="66" t="s">
        <v>4217</v>
      </c>
      <c r="F175" s="66" t="s">
        <v>4218</v>
      </c>
      <c r="G175" s="66" t="s">
        <v>4219</v>
      </c>
      <c r="H175" s="66" t="s">
        <v>4220</v>
      </c>
      <c r="I175" s="66" t="s">
        <v>4221</v>
      </c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60" t="str">
        <f t="shared" si="1"/>
        <v>175</v>
      </c>
      <c r="B176" s="66" t="s">
        <v>607</v>
      </c>
      <c r="C176" s="66" t="s">
        <v>4222</v>
      </c>
      <c r="D176" s="66" t="s">
        <v>4223</v>
      </c>
      <c r="E176" s="66" t="s">
        <v>4224</v>
      </c>
      <c r="F176" s="66" t="s">
        <v>4225</v>
      </c>
      <c r="G176" s="66" t="s">
        <v>4153</v>
      </c>
      <c r="H176" s="66" t="s">
        <v>4226</v>
      </c>
      <c r="I176" s="66" t="s">
        <v>4227</v>
      </c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60" t="str">
        <f t="shared" si="1"/>
        <v>176</v>
      </c>
      <c r="B177" s="66" t="s">
        <v>609</v>
      </c>
      <c r="C177" s="66" t="s">
        <v>4228</v>
      </c>
      <c r="D177" s="66" t="s">
        <v>4229</v>
      </c>
      <c r="E177" s="66" t="s">
        <v>4230</v>
      </c>
      <c r="F177" s="66" t="s">
        <v>4231</v>
      </c>
      <c r="G177" s="66" t="s">
        <v>4166</v>
      </c>
      <c r="H177" s="66" t="s">
        <v>4232</v>
      </c>
      <c r="I177" s="66" t="s">
        <v>4233</v>
      </c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60">
        <v>177.0</v>
      </c>
      <c r="B178" s="66" t="s">
        <v>611</v>
      </c>
      <c r="C178" s="66" t="s">
        <v>4234</v>
      </c>
      <c r="D178" s="66" t="s">
        <v>4235</v>
      </c>
      <c r="E178" s="66" t="s">
        <v>4236</v>
      </c>
      <c r="F178" s="66" t="s">
        <v>4237</v>
      </c>
      <c r="G178" s="66" t="s">
        <v>4135</v>
      </c>
      <c r="H178" s="66" t="s">
        <v>4238</v>
      </c>
      <c r="I178" s="66" t="s">
        <v>4239</v>
      </c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9"/>
      <c r="B179" s="67"/>
      <c r="C179" s="68"/>
      <c r="D179" s="68"/>
      <c r="E179" s="68"/>
      <c r="F179" s="68"/>
      <c r="G179" s="68"/>
      <c r="H179" s="68"/>
      <c r="I179" s="68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9"/>
      <c r="B180" s="67"/>
      <c r="C180" s="68"/>
      <c r="D180" s="68"/>
      <c r="E180" s="68"/>
      <c r="F180" s="68"/>
      <c r="G180" s="68"/>
      <c r="H180" s="68"/>
      <c r="I180" s="68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9"/>
      <c r="B181" s="67"/>
      <c r="C181" s="68"/>
      <c r="D181" s="68"/>
      <c r="E181" s="68"/>
      <c r="F181" s="68"/>
      <c r="G181" s="68"/>
      <c r="H181" s="68"/>
      <c r="I181" s="68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9"/>
      <c r="B182" s="67"/>
      <c r="C182" s="68"/>
      <c r="D182" s="68"/>
      <c r="E182" s="68"/>
      <c r="F182" s="68"/>
      <c r="G182" s="68"/>
      <c r="H182" s="68"/>
      <c r="I182" s="68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9"/>
      <c r="B183" s="67"/>
      <c r="C183" s="68"/>
      <c r="D183" s="68"/>
      <c r="E183" s="68"/>
      <c r="F183" s="68"/>
      <c r="G183" s="68"/>
      <c r="H183" s="68"/>
      <c r="I183" s="68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9"/>
      <c r="B184" s="67"/>
      <c r="C184" s="68"/>
      <c r="D184" s="68"/>
      <c r="E184" s="68"/>
      <c r="F184" s="68"/>
      <c r="G184" s="68"/>
      <c r="H184" s="68"/>
      <c r="I184" s="68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9"/>
      <c r="B185" s="67"/>
      <c r="C185" s="68"/>
      <c r="D185" s="68"/>
      <c r="E185" s="68"/>
      <c r="F185" s="68"/>
      <c r="G185" s="68"/>
      <c r="H185" s="68"/>
      <c r="I185" s="68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9"/>
      <c r="B186" s="67"/>
      <c r="C186" s="68"/>
      <c r="D186" s="68"/>
      <c r="E186" s="68"/>
      <c r="F186" s="68"/>
      <c r="G186" s="68"/>
      <c r="H186" s="68"/>
      <c r="I186" s="68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9"/>
      <c r="B187" s="67"/>
      <c r="C187" s="68"/>
      <c r="D187" s="68"/>
      <c r="E187" s="68"/>
      <c r="F187" s="68"/>
      <c r="G187" s="68"/>
      <c r="H187" s="68"/>
      <c r="I187" s="68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9"/>
      <c r="B188" s="67"/>
      <c r="C188" s="68"/>
      <c r="D188" s="68"/>
      <c r="E188" s="68"/>
      <c r="F188" s="68"/>
      <c r="G188" s="68"/>
      <c r="H188" s="68"/>
      <c r="I188" s="68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9"/>
      <c r="B189" s="67"/>
      <c r="C189" s="68"/>
      <c r="D189" s="68"/>
      <c r="E189" s="68"/>
      <c r="F189" s="68"/>
      <c r="G189" s="68"/>
      <c r="H189" s="68"/>
      <c r="I189" s="68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9"/>
      <c r="B190" s="67"/>
      <c r="C190" s="68"/>
      <c r="D190" s="68"/>
      <c r="E190" s="68"/>
      <c r="F190" s="68"/>
      <c r="G190" s="68"/>
      <c r="H190" s="68"/>
      <c r="I190" s="68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9"/>
      <c r="B191" s="67"/>
      <c r="C191" s="68"/>
      <c r="D191" s="68"/>
      <c r="E191" s="68"/>
      <c r="F191" s="68"/>
      <c r="G191" s="68"/>
      <c r="H191" s="68"/>
      <c r="I191" s="68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9"/>
      <c r="B192" s="67"/>
      <c r="C192" s="68"/>
      <c r="D192" s="68"/>
      <c r="E192" s="68"/>
      <c r="F192" s="68"/>
      <c r="G192" s="68"/>
      <c r="H192" s="68"/>
      <c r="I192" s="68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9"/>
      <c r="B193" s="67"/>
      <c r="C193" s="68"/>
      <c r="D193" s="68"/>
      <c r="E193" s="68"/>
      <c r="F193" s="68"/>
      <c r="G193" s="68"/>
      <c r="H193" s="68"/>
      <c r="I193" s="68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9"/>
      <c r="B194" s="67"/>
      <c r="C194" s="68"/>
      <c r="D194" s="68"/>
      <c r="E194" s="68"/>
      <c r="F194" s="68"/>
      <c r="G194" s="68"/>
      <c r="H194" s="68"/>
      <c r="I194" s="68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9"/>
      <c r="B195" s="67"/>
      <c r="C195" s="68"/>
      <c r="D195" s="68"/>
      <c r="E195" s="68"/>
      <c r="F195" s="68"/>
      <c r="G195" s="68"/>
      <c r="H195" s="68"/>
      <c r="I195" s="68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9"/>
      <c r="B196" s="67"/>
      <c r="C196" s="68"/>
      <c r="D196" s="68"/>
      <c r="E196" s="68"/>
      <c r="F196" s="68"/>
      <c r="G196" s="68"/>
      <c r="H196" s="68"/>
      <c r="I196" s="68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9"/>
      <c r="B197" s="67"/>
      <c r="C197" s="68"/>
      <c r="D197" s="68"/>
      <c r="E197" s="68"/>
      <c r="F197" s="68"/>
      <c r="G197" s="68"/>
      <c r="H197" s="68"/>
      <c r="I197" s="68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9"/>
      <c r="B198" s="67"/>
      <c r="C198" s="68"/>
      <c r="D198" s="68"/>
      <c r="E198" s="68"/>
      <c r="F198" s="68"/>
      <c r="G198" s="68"/>
      <c r="H198" s="68"/>
      <c r="I198" s="68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9"/>
      <c r="B199" s="67"/>
      <c r="C199" s="68"/>
      <c r="D199" s="68"/>
      <c r="E199" s="68"/>
      <c r="F199" s="68"/>
      <c r="G199" s="68"/>
      <c r="H199" s="68"/>
      <c r="I199" s="68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9"/>
      <c r="B200" s="67"/>
      <c r="C200" s="68"/>
      <c r="D200" s="68"/>
      <c r="E200" s="68"/>
      <c r="F200" s="68"/>
      <c r="G200" s="68"/>
      <c r="H200" s="68"/>
      <c r="I200" s="68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9"/>
      <c r="B201" s="67"/>
      <c r="C201" s="68"/>
      <c r="D201" s="68"/>
      <c r="E201" s="68"/>
      <c r="F201" s="68"/>
      <c r="G201" s="68"/>
      <c r="H201" s="68"/>
      <c r="I201" s="68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9"/>
      <c r="B202" s="67"/>
      <c r="C202" s="68"/>
      <c r="D202" s="68"/>
      <c r="E202" s="68"/>
      <c r="F202" s="68"/>
      <c r="G202" s="68"/>
      <c r="H202" s="68"/>
      <c r="I202" s="68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9"/>
      <c r="B203" s="67"/>
      <c r="C203" s="68"/>
      <c r="D203" s="68"/>
      <c r="E203" s="68"/>
      <c r="F203" s="68"/>
      <c r="G203" s="68"/>
      <c r="H203" s="68"/>
      <c r="I203" s="68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9"/>
      <c r="B204" s="67"/>
      <c r="C204" s="68"/>
      <c r="D204" s="68"/>
      <c r="E204" s="68"/>
      <c r="F204" s="68"/>
      <c r="G204" s="68"/>
      <c r="H204" s="68"/>
      <c r="I204" s="68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9"/>
      <c r="B205" s="67"/>
      <c r="C205" s="68"/>
      <c r="D205" s="68"/>
      <c r="E205" s="68"/>
      <c r="F205" s="68"/>
      <c r="G205" s="68"/>
      <c r="H205" s="68"/>
      <c r="I205" s="68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9"/>
      <c r="B206" s="67"/>
      <c r="C206" s="68"/>
      <c r="D206" s="68"/>
      <c r="E206" s="68"/>
      <c r="F206" s="68"/>
      <c r="G206" s="68"/>
      <c r="H206" s="68"/>
      <c r="I206" s="68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9"/>
      <c r="B207" s="67"/>
      <c r="C207" s="68"/>
      <c r="D207" s="68"/>
      <c r="E207" s="68"/>
      <c r="F207" s="68"/>
      <c r="G207" s="68"/>
      <c r="H207" s="68"/>
      <c r="I207" s="68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9"/>
      <c r="B208" s="67"/>
      <c r="C208" s="68"/>
      <c r="D208" s="68"/>
      <c r="E208" s="68"/>
      <c r="F208" s="68"/>
      <c r="G208" s="68"/>
      <c r="H208" s="68"/>
      <c r="I208" s="68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9"/>
      <c r="B209" s="67"/>
      <c r="C209" s="68"/>
      <c r="D209" s="68"/>
      <c r="E209" s="68"/>
      <c r="F209" s="68"/>
      <c r="G209" s="68"/>
      <c r="H209" s="68"/>
      <c r="I209" s="68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9"/>
      <c r="B210" s="67"/>
      <c r="C210" s="68"/>
      <c r="D210" s="68"/>
      <c r="E210" s="68"/>
      <c r="F210" s="68"/>
      <c r="G210" s="68"/>
      <c r="H210" s="68"/>
      <c r="I210" s="68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9"/>
      <c r="B211" s="67"/>
      <c r="C211" s="68"/>
      <c r="D211" s="68"/>
      <c r="E211" s="68"/>
      <c r="F211" s="68"/>
      <c r="G211" s="68"/>
      <c r="H211" s="68"/>
      <c r="I211" s="68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9"/>
      <c r="B212" s="67"/>
      <c r="C212" s="68"/>
      <c r="D212" s="68"/>
      <c r="E212" s="68"/>
      <c r="F212" s="68"/>
      <c r="G212" s="68"/>
      <c r="H212" s="68"/>
      <c r="I212" s="68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9"/>
      <c r="B213" s="67"/>
      <c r="C213" s="68"/>
      <c r="D213" s="68"/>
      <c r="E213" s="68"/>
      <c r="F213" s="68"/>
      <c r="G213" s="68"/>
      <c r="H213" s="68"/>
      <c r="I213" s="68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9"/>
      <c r="B214" s="67"/>
      <c r="C214" s="68"/>
      <c r="D214" s="68"/>
      <c r="E214" s="68"/>
      <c r="F214" s="68"/>
      <c r="G214" s="68"/>
      <c r="H214" s="68"/>
      <c r="I214" s="68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9"/>
      <c r="B215" s="67"/>
      <c r="C215" s="68"/>
      <c r="D215" s="68"/>
      <c r="E215" s="68"/>
      <c r="F215" s="68"/>
      <c r="G215" s="68"/>
      <c r="H215" s="68"/>
      <c r="I215" s="68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9"/>
      <c r="B216" s="67"/>
      <c r="C216" s="68"/>
      <c r="D216" s="68"/>
      <c r="E216" s="68"/>
      <c r="F216" s="68"/>
      <c r="G216" s="68"/>
      <c r="H216" s="68"/>
      <c r="I216" s="68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9"/>
      <c r="B217" s="67"/>
      <c r="C217" s="68"/>
      <c r="D217" s="68"/>
      <c r="E217" s="68"/>
      <c r="F217" s="68"/>
      <c r="G217" s="68"/>
      <c r="H217" s="68"/>
      <c r="I217" s="68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9"/>
      <c r="B218" s="67"/>
      <c r="C218" s="68"/>
      <c r="D218" s="68"/>
      <c r="E218" s="68"/>
      <c r="F218" s="68"/>
      <c r="G218" s="68"/>
      <c r="H218" s="68"/>
      <c r="I218" s="68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9"/>
      <c r="B219" s="67"/>
      <c r="C219" s="68"/>
      <c r="D219" s="68"/>
      <c r="E219" s="68"/>
      <c r="F219" s="68"/>
      <c r="G219" s="68"/>
      <c r="H219" s="68"/>
      <c r="I219" s="68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9"/>
      <c r="B220" s="67"/>
      <c r="C220" s="68"/>
      <c r="D220" s="68"/>
      <c r="E220" s="68"/>
      <c r="F220" s="68"/>
      <c r="G220" s="68"/>
      <c r="H220" s="68"/>
      <c r="I220" s="68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9"/>
      <c r="B221" s="67"/>
      <c r="C221" s="68"/>
      <c r="D221" s="68"/>
      <c r="E221" s="68"/>
      <c r="F221" s="68"/>
      <c r="G221" s="68"/>
      <c r="H221" s="68"/>
      <c r="I221" s="68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9"/>
      <c r="B222" s="67"/>
      <c r="C222" s="68"/>
      <c r="D222" s="68"/>
      <c r="E222" s="68"/>
      <c r="F222" s="68"/>
      <c r="G222" s="68"/>
      <c r="H222" s="68"/>
      <c r="I222" s="68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9"/>
      <c r="B223" s="67"/>
      <c r="C223" s="68"/>
      <c r="D223" s="68"/>
      <c r="E223" s="68"/>
      <c r="F223" s="68"/>
      <c r="G223" s="68"/>
      <c r="H223" s="68"/>
      <c r="I223" s="68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9"/>
      <c r="B224" s="67"/>
      <c r="C224" s="68"/>
      <c r="D224" s="68"/>
      <c r="E224" s="68"/>
      <c r="F224" s="68"/>
      <c r="G224" s="68"/>
      <c r="H224" s="68"/>
      <c r="I224" s="68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9"/>
      <c r="B225" s="67"/>
      <c r="C225" s="68"/>
      <c r="D225" s="68"/>
      <c r="E225" s="68"/>
      <c r="F225" s="68"/>
      <c r="G225" s="68"/>
      <c r="H225" s="68"/>
      <c r="I225" s="68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9"/>
      <c r="B226" s="67"/>
      <c r="C226" s="68"/>
      <c r="D226" s="68"/>
      <c r="E226" s="68"/>
      <c r="F226" s="68"/>
      <c r="G226" s="68"/>
      <c r="H226" s="68"/>
      <c r="I226" s="68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9"/>
      <c r="B227" s="67"/>
      <c r="C227" s="68"/>
      <c r="D227" s="68"/>
      <c r="E227" s="68"/>
      <c r="F227" s="68"/>
      <c r="G227" s="68"/>
      <c r="H227" s="68"/>
      <c r="I227" s="68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9"/>
      <c r="B228" s="67"/>
      <c r="C228" s="68"/>
      <c r="D228" s="68"/>
      <c r="E228" s="68"/>
      <c r="F228" s="68"/>
      <c r="G228" s="68"/>
      <c r="H228" s="68"/>
      <c r="I228" s="68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9"/>
      <c r="B229" s="67"/>
      <c r="C229" s="68"/>
      <c r="D229" s="68"/>
      <c r="E229" s="68"/>
      <c r="F229" s="68"/>
      <c r="G229" s="68"/>
      <c r="H229" s="68"/>
      <c r="I229" s="68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9"/>
      <c r="B230" s="67"/>
      <c r="C230" s="68"/>
      <c r="D230" s="68"/>
      <c r="E230" s="68"/>
      <c r="F230" s="68"/>
      <c r="G230" s="68"/>
      <c r="H230" s="68"/>
      <c r="I230" s="68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9"/>
      <c r="B231" s="67"/>
      <c r="C231" s="68"/>
      <c r="D231" s="68"/>
      <c r="E231" s="68"/>
      <c r="F231" s="68"/>
      <c r="G231" s="68"/>
      <c r="H231" s="68"/>
      <c r="I231" s="68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9"/>
      <c r="B232" s="67"/>
      <c r="C232" s="68"/>
      <c r="D232" s="68"/>
      <c r="E232" s="68"/>
      <c r="F232" s="68"/>
      <c r="G232" s="68"/>
      <c r="H232" s="68"/>
      <c r="I232" s="68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9"/>
      <c r="B233" s="67"/>
      <c r="C233" s="68"/>
      <c r="D233" s="68"/>
      <c r="E233" s="68"/>
      <c r="F233" s="68"/>
      <c r="G233" s="68"/>
      <c r="H233" s="68"/>
      <c r="I233" s="68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9"/>
      <c r="B234" s="67"/>
      <c r="C234" s="68"/>
      <c r="D234" s="68"/>
      <c r="E234" s="68"/>
      <c r="F234" s="68"/>
      <c r="G234" s="68"/>
      <c r="H234" s="68"/>
      <c r="I234" s="68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9"/>
      <c r="B235" s="67"/>
      <c r="C235" s="68"/>
      <c r="D235" s="68"/>
      <c r="E235" s="68"/>
      <c r="F235" s="68"/>
      <c r="G235" s="68"/>
      <c r="H235" s="68"/>
      <c r="I235" s="68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9"/>
      <c r="B236" s="67"/>
      <c r="C236" s="68"/>
      <c r="D236" s="68"/>
      <c r="E236" s="68"/>
      <c r="F236" s="68"/>
      <c r="G236" s="68"/>
      <c r="H236" s="68"/>
      <c r="I236" s="68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9"/>
      <c r="B237" s="67"/>
      <c r="C237" s="68"/>
      <c r="D237" s="68"/>
      <c r="E237" s="68"/>
      <c r="F237" s="68"/>
      <c r="G237" s="68"/>
      <c r="H237" s="68"/>
      <c r="I237" s="68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9"/>
      <c r="B238" s="67"/>
      <c r="C238" s="68"/>
      <c r="D238" s="68"/>
      <c r="E238" s="68"/>
      <c r="F238" s="68"/>
      <c r="G238" s="68"/>
      <c r="H238" s="68"/>
      <c r="I238" s="68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9"/>
      <c r="B239" s="67"/>
      <c r="C239" s="68"/>
      <c r="D239" s="68"/>
      <c r="E239" s="68"/>
      <c r="F239" s="68"/>
      <c r="G239" s="68"/>
      <c r="H239" s="68"/>
      <c r="I239" s="68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9"/>
      <c r="B240" s="67"/>
      <c r="C240" s="68"/>
      <c r="D240" s="68"/>
      <c r="E240" s="68"/>
      <c r="F240" s="68"/>
      <c r="G240" s="68"/>
      <c r="H240" s="68"/>
      <c r="I240" s="68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9"/>
      <c r="B241" s="67"/>
      <c r="C241" s="68"/>
      <c r="D241" s="68"/>
      <c r="E241" s="68"/>
      <c r="F241" s="68"/>
      <c r="G241" s="68"/>
      <c r="H241" s="68"/>
      <c r="I241" s="68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9"/>
      <c r="B242" s="67"/>
      <c r="C242" s="68"/>
      <c r="D242" s="68"/>
      <c r="E242" s="68"/>
      <c r="F242" s="68"/>
      <c r="G242" s="68"/>
      <c r="H242" s="68"/>
      <c r="I242" s="68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9"/>
      <c r="B243" s="67"/>
      <c r="C243" s="68"/>
      <c r="D243" s="68"/>
      <c r="E243" s="68"/>
      <c r="F243" s="68"/>
      <c r="G243" s="68"/>
      <c r="H243" s="68"/>
      <c r="I243" s="68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9"/>
      <c r="B244" s="67"/>
      <c r="C244" s="68"/>
      <c r="D244" s="68"/>
      <c r="E244" s="68"/>
      <c r="F244" s="68"/>
      <c r="G244" s="68"/>
      <c r="H244" s="68"/>
      <c r="I244" s="68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9"/>
      <c r="B245" s="67"/>
      <c r="C245" s="68"/>
      <c r="D245" s="68"/>
      <c r="E245" s="68"/>
      <c r="F245" s="68"/>
      <c r="G245" s="68"/>
      <c r="H245" s="68"/>
      <c r="I245" s="68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9"/>
      <c r="B246" s="67"/>
      <c r="C246" s="68"/>
      <c r="D246" s="68"/>
      <c r="E246" s="68"/>
      <c r="F246" s="68"/>
      <c r="G246" s="68"/>
      <c r="H246" s="68"/>
      <c r="I246" s="68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9"/>
      <c r="B247" s="67"/>
      <c r="C247" s="68"/>
      <c r="D247" s="68"/>
      <c r="E247" s="68"/>
      <c r="F247" s="68"/>
      <c r="G247" s="68"/>
      <c r="H247" s="68"/>
      <c r="I247" s="68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9"/>
      <c r="B248" s="67"/>
      <c r="C248" s="68"/>
      <c r="D248" s="68"/>
      <c r="E248" s="68"/>
      <c r="F248" s="68"/>
      <c r="G248" s="68"/>
      <c r="H248" s="68"/>
      <c r="I248" s="68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9"/>
      <c r="B249" s="67"/>
      <c r="C249" s="68"/>
      <c r="D249" s="68"/>
      <c r="E249" s="68"/>
      <c r="F249" s="68"/>
      <c r="G249" s="68"/>
      <c r="H249" s="68"/>
      <c r="I249" s="68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9"/>
      <c r="B250" s="67"/>
      <c r="C250" s="68"/>
      <c r="D250" s="68"/>
      <c r="E250" s="68"/>
      <c r="F250" s="68"/>
      <c r="G250" s="68"/>
      <c r="H250" s="68"/>
      <c r="I250" s="68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9"/>
      <c r="B251" s="67"/>
      <c r="C251" s="68"/>
      <c r="D251" s="68"/>
      <c r="E251" s="68"/>
      <c r="F251" s="68"/>
      <c r="G251" s="68"/>
      <c r="H251" s="68"/>
      <c r="I251" s="68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9"/>
      <c r="B252" s="67"/>
      <c r="C252" s="68"/>
      <c r="D252" s="68"/>
      <c r="E252" s="68"/>
      <c r="F252" s="68"/>
      <c r="G252" s="68"/>
      <c r="H252" s="68"/>
      <c r="I252" s="68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9"/>
      <c r="B253" s="67"/>
      <c r="C253" s="68"/>
      <c r="D253" s="68"/>
      <c r="E253" s="68"/>
      <c r="F253" s="68"/>
      <c r="G253" s="68"/>
      <c r="H253" s="68"/>
      <c r="I253" s="68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9"/>
      <c r="B254" s="67"/>
      <c r="C254" s="68"/>
      <c r="D254" s="68"/>
      <c r="E254" s="68"/>
      <c r="F254" s="68"/>
      <c r="G254" s="68"/>
      <c r="H254" s="68"/>
      <c r="I254" s="68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9"/>
      <c r="B255" s="67"/>
      <c r="C255" s="68"/>
      <c r="D255" s="68"/>
      <c r="E255" s="68"/>
      <c r="F255" s="68"/>
      <c r="G255" s="68"/>
      <c r="H255" s="68"/>
      <c r="I255" s="68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9"/>
      <c r="B256" s="67"/>
      <c r="C256" s="68"/>
      <c r="D256" s="68"/>
      <c r="E256" s="68"/>
      <c r="F256" s="68"/>
      <c r="G256" s="68"/>
      <c r="H256" s="68"/>
      <c r="I256" s="68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9"/>
      <c r="B257" s="67"/>
      <c r="C257" s="68"/>
      <c r="D257" s="68"/>
      <c r="E257" s="68"/>
      <c r="F257" s="68"/>
      <c r="G257" s="68"/>
      <c r="H257" s="68"/>
      <c r="I257" s="68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9"/>
      <c r="B258" s="67"/>
      <c r="C258" s="68"/>
      <c r="D258" s="68"/>
      <c r="E258" s="68"/>
      <c r="F258" s="68"/>
      <c r="G258" s="68"/>
      <c r="H258" s="68"/>
      <c r="I258" s="68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9"/>
      <c r="B259" s="67"/>
      <c r="C259" s="68"/>
      <c r="D259" s="68"/>
      <c r="E259" s="68"/>
      <c r="F259" s="68"/>
      <c r="G259" s="68"/>
      <c r="H259" s="68"/>
      <c r="I259" s="68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9"/>
      <c r="B260" s="67"/>
      <c r="C260" s="68"/>
      <c r="D260" s="68"/>
      <c r="E260" s="68"/>
      <c r="F260" s="68"/>
      <c r="G260" s="68"/>
      <c r="H260" s="68"/>
      <c r="I260" s="68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9"/>
      <c r="B261" s="67"/>
      <c r="C261" s="68"/>
      <c r="D261" s="68"/>
      <c r="E261" s="68"/>
      <c r="F261" s="68"/>
      <c r="G261" s="68"/>
      <c r="H261" s="68"/>
      <c r="I261" s="68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9"/>
      <c r="B262" s="67"/>
      <c r="C262" s="68"/>
      <c r="D262" s="68"/>
      <c r="E262" s="68"/>
      <c r="F262" s="68"/>
      <c r="G262" s="68"/>
      <c r="H262" s="68"/>
      <c r="I262" s="68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9"/>
      <c r="B263" s="67"/>
      <c r="C263" s="68"/>
      <c r="D263" s="68"/>
      <c r="E263" s="68"/>
      <c r="F263" s="68"/>
      <c r="G263" s="68"/>
      <c r="H263" s="68"/>
      <c r="I263" s="68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9"/>
      <c r="B264" s="67"/>
      <c r="C264" s="68"/>
      <c r="D264" s="68"/>
      <c r="E264" s="68"/>
      <c r="F264" s="68"/>
      <c r="G264" s="68"/>
      <c r="H264" s="68"/>
      <c r="I264" s="68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9"/>
      <c r="B265" s="67"/>
      <c r="C265" s="68"/>
      <c r="D265" s="68"/>
      <c r="E265" s="68"/>
      <c r="F265" s="68"/>
      <c r="G265" s="68"/>
      <c r="H265" s="68"/>
      <c r="I265" s="68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9"/>
      <c r="B266" s="67"/>
      <c r="C266" s="68"/>
      <c r="D266" s="68"/>
      <c r="E266" s="68"/>
      <c r="F266" s="68"/>
      <c r="G266" s="68"/>
      <c r="H266" s="68"/>
      <c r="I266" s="68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9"/>
      <c r="B267" s="67"/>
      <c r="C267" s="68"/>
      <c r="D267" s="68"/>
      <c r="E267" s="68"/>
      <c r="F267" s="68"/>
      <c r="G267" s="68"/>
      <c r="H267" s="68"/>
      <c r="I267" s="68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9"/>
      <c r="B268" s="67"/>
      <c r="C268" s="68"/>
      <c r="D268" s="68"/>
      <c r="E268" s="68"/>
      <c r="F268" s="68"/>
      <c r="G268" s="68"/>
      <c r="H268" s="68"/>
      <c r="I268" s="68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9"/>
      <c r="B269" s="67"/>
      <c r="C269" s="68"/>
      <c r="D269" s="68"/>
      <c r="E269" s="68"/>
      <c r="F269" s="68"/>
      <c r="G269" s="68"/>
      <c r="H269" s="68"/>
      <c r="I269" s="68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9"/>
      <c r="B270" s="67"/>
      <c r="C270" s="68"/>
      <c r="D270" s="68"/>
      <c r="E270" s="68"/>
      <c r="F270" s="68"/>
      <c r="G270" s="68"/>
      <c r="H270" s="68"/>
      <c r="I270" s="68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9"/>
      <c r="B271" s="67"/>
      <c r="C271" s="68"/>
      <c r="D271" s="68"/>
      <c r="E271" s="68"/>
      <c r="F271" s="68"/>
      <c r="G271" s="68"/>
      <c r="H271" s="68"/>
      <c r="I271" s="68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9"/>
      <c r="B272" s="67"/>
      <c r="C272" s="68"/>
      <c r="D272" s="68"/>
      <c r="E272" s="68"/>
      <c r="F272" s="68"/>
      <c r="G272" s="68"/>
      <c r="H272" s="68"/>
      <c r="I272" s="68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9"/>
      <c r="B273" s="67"/>
      <c r="C273" s="68"/>
      <c r="D273" s="68"/>
      <c r="E273" s="68"/>
      <c r="F273" s="68"/>
      <c r="G273" s="68"/>
      <c r="H273" s="68"/>
      <c r="I273" s="68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9"/>
      <c r="B274" s="67"/>
      <c r="C274" s="68"/>
      <c r="D274" s="68"/>
      <c r="E274" s="68"/>
      <c r="F274" s="68"/>
      <c r="G274" s="68"/>
      <c r="H274" s="68"/>
      <c r="I274" s="68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9"/>
      <c r="B275" s="67"/>
      <c r="C275" s="68"/>
      <c r="D275" s="68"/>
      <c r="E275" s="68"/>
      <c r="F275" s="68"/>
      <c r="G275" s="68"/>
      <c r="H275" s="68"/>
      <c r="I275" s="68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9"/>
      <c r="B276" s="67"/>
      <c r="C276" s="68"/>
      <c r="D276" s="68"/>
      <c r="E276" s="68"/>
      <c r="F276" s="68"/>
      <c r="G276" s="68"/>
      <c r="H276" s="68"/>
      <c r="I276" s="68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9"/>
      <c r="B277" s="67"/>
      <c r="C277" s="68"/>
      <c r="D277" s="68"/>
      <c r="E277" s="68"/>
      <c r="F277" s="68"/>
      <c r="G277" s="68"/>
      <c r="H277" s="68"/>
      <c r="I277" s="68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9"/>
      <c r="B278" s="67"/>
      <c r="C278" s="68"/>
      <c r="D278" s="68"/>
      <c r="E278" s="68"/>
      <c r="F278" s="68"/>
      <c r="G278" s="68"/>
      <c r="H278" s="68"/>
      <c r="I278" s="68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9"/>
      <c r="B279" s="67"/>
      <c r="C279" s="68"/>
      <c r="D279" s="68"/>
      <c r="E279" s="68"/>
      <c r="F279" s="68"/>
      <c r="G279" s="68"/>
      <c r="H279" s="68"/>
      <c r="I279" s="68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9"/>
      <c r="B280" s="67"/>
      <c r="C280" s="68"/>
      <c r="D280" s="68"/>
      <c r="E280" s="68"/>
      <c r="F280" s="68"/>
      <c r="G280" s="68"/>
      <c r="H280" s="68"/>
      <c r="I280" s="68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9"/>
      <c r="B281" s="67"/>
      <c r="C281" s="68"/>
      <c r="D281" s="68"/>
      <c r="E281" s="68"/>
      <c r="F281" s="68"/>
      <c r="G281" s="68"/>
      <c r="H281" s="68"/>
      <c r="I281" s="68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9"/>
      <c r="B282" s="67"/>
      <c r="C282" s="68"/>
      <c r="D282" s="68"/>
      <c r="E282" s="68"/>
      <c r="F282" s="68"/>
      <c r="G282" s="68"/>
      <c r="H282" s="68"/>
      <c r="I282" s="68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9"/>
      <c r="B283" s="67"/>
      <c r="C283" s="68"/>
      <c r="D283" s="68"/>
      <c r="E283" s="68"/>
      <c r="F283" s="68"/>
      <c r="G283" s="68"/>
      <c r="H283" s="68"/>
      <c r="I283" s="68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9"/>
      <c r="B284" s="67"/>
      <c r="C284" s="68"/>
      <c r="D284" s="68"/>
      <c r="E284" s="68"/>
      <c r="F284" s="68"/>
      <c r="G284" s="68"/>
      <c r="H284" s="68"/>
      <c r="I284" s="68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9"/>
      <c r="B285" s="67"/>
      <c r="C285" s="68"/>
      <c r="D285" s="68"/>
      <c r="E285" s="68"/>
      <c r="F285" s="68"/>
      <c r="G285" s="68"/>
      <c r="H285" s="68"/>
      <c r="I285" s="68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9"/>
      <c r="B286" s="67"/>
      <c r="C286" s="68"/>
      <c r="D286" s="68"/>
      <c r="E286" s="68"/>
      <c r="F286" s="68"/>
      <c r="G286" s="68"/>
      <c r="H286" s="68"/>
      <c r="I286" s="68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9"/>
      <c r="B287" s="67"/>
      <c r="C287" s="68"/>
      <c r="D287" s="68"/>
      <c r="E287" s="68"/>
      <c r="F287" s="68"/>
      <c r="G287" s="68"/>
      <c r="H287" s="68"/>
      <c r="I287" s="68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9"/>
      <c r="B288" s="67"/>
      <c r="C288" s="68"/>
      <c r="D288" s="68"/>
      <c r="E288" s="68"/>
      <c r="F288" s="68"/>
      <c r="G288" s="68"/>
      <c r="H288" s="68"/>
      <c r="I288" s="68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9"/>
      <c r="B289" s="67"/>
      <c r="C289" s="68"/>
      <c r="D289" s="68"/>
      <c r="E289" s="68"/>
      <c r="F289" s="68"/>
      <c r="G289" s="68"/>
      <c r="H289" s="68"/>
      <c r="I289" s="68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9"/>
      <c r="B290" s="67"/>
      <c r="C290" s="68"/>
      <c r="D290" s="68"/>
      <c r="E290" s="68"/>
      <c r="F290" s="68"/>
      <c r="G290" s="68"/>
      <c r="H290" s="68"/>
      <c r="I290" s="68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9"/>
      <c r="B291" s="67"/>
      <c r="C291" s="68"/>
      <c r="D291" s="68"/>
      <c r="E291" s="68"/>
      <c r="F291" s="68"/>
      <c r="G291" s="68"/>
      <c r="H291" s="68"/>
      <c r="I291" s="68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9"/>
      <c r="B292" s="67"/>
      <c r="C292" s="68"/>
      <c r="D292" s="68"/>
      <c r="E292" s="68"/>
      <c r="F292" s="68"/>
      <c r="G292" s="68"/>
      <c r="H292" s="68"/>
      <c r="I292" s="68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9"/>
      <c r="B293" s="67"/>
      <c r="C293" s="68"/>
      <c r="D293" s="68"/>
      <c r="E293" s="68"/>
      <c r="F293" s="68"/>
      <c r="G293" s="68"/>
      <c r="H293" s="68"/>
      <c r="I293" s="68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9"/>
      <c r="B294" s="67"/>
      <c r="C294" s="68"/>
      <c r="D294" s="68"/>
      <c r="E294" s="68"/>
      <c r="F294" s="68"/>
      <c r="G294" s="68"/>
      <c r="H294" s="68"/>
      <c r="I294" s="68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9"/>
      <c r="B295" s="67"/>
      <c r="C295" s="68"/>
      <c r="D295" s="68"/>
      <c r="E295" s="68"/>
      <c r="F295" s="68"/>
      <c r="G295" s="68"/>
      <c r="H295" s="68"/>
      <c r="I295" s="68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9"/>
      <c r="B296" s="67"/>
      <c r="C296" s="68"/>
      <c r="D296" s="68"/>
      <c r="E296" s="68"/>
      <c r="F296" s="68"/>
      <c r="G296" s="68"/>
      <c r="H296" s="68"/>
      <c r="I296" s="68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9"/>
      <c r="B297" s="67"/>
      <c r="C297" s="68"/>
      <c r="D297" s="68"/>
      <c r="E297" s="68"/>
      <c r="F297" s="68"/>
      <c r="G297" s="68"/>
      <c r="H297" s="68"/>
      <c r="I297" s="68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9"/>
      <c r="B298" s="67"/>
      <c r="C298" s="68"/>
      <c r="D298" s="68"/>
      <c r="E298" s="68"/>
      <c r="F298" s="68"/>
      <c r="G298" s="68"/>
      <c r="H298" s="68"/>
      <c r="I298" s="68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9"/>
      <c r="B299" s="67"/>
      <c r="C299" s="68"/>
      <c r="D299" s="68"/>
      <c r="E299" s="68"/>
      <c r="F299" s="68"/>
      <c r="G299" s="68"/>
      <c r="H299" s="68"/>
      <c r="I299" s="68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9"/>
      <c r="B300" s="67"/>
      <c r="C300" s="68"/>
      <c r="D300" s="68"/>
      <c r="E300" s="68"/>
      <c r="F300" s="68"/>
      <c r="G300" s="68"/>
      <c r="H300" s="68"/>
      <c r="I300" s="68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9"/>
      <c r="B301" s="67"/>
      <c r="C301" s="68"/>
      <c r="D301" s="68"/>
      <c r="E301" s="68"/>
      <c r="F301" s="68"/>
      <c r="G301" s="68"/>
      <c r="H301" s="68"/>
      <c r="I301" s="68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9"/>
      <c r="B302" s="67"/>
      <c r="C302" s="68"/>
      <c r="D302" s="68"/>
      <c r="E302" s="68"/>
      <c r="F302" s="68"/>
      <c r="G302" s="68"/>
      <c r="H302" s="68"/>
      <c r="I302" s="68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9"/>
      <c r="B303" s="67"/>
      <c r="C303" s="68"/>
      <c r="D303" s="68"/>
      <c r="E303" s="68"/>
      <c r="F303" s="68"/>
      <c r="G303" s="68"/>
      <c r="H303" s="68"/>
      <c r="I303" s="68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9"/>
      <c r="B304" s="67"/>
      <c r="C304" s="68"/>
      <c r="D304" s="68"/>
      <c r="E304" s="68"/>
      <c r="F304" s="68"/>
      <c r="G304" s="68"/>
      <c r="H304" s="68"/>
      <c r="I304" s="68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9"/>
      <c r="B305" s="67"/>
      <c r="C305" s="68"/>
      <c r="D305" s="68"/>
      <c r="E305" s="68"/>
      <c r="F305" s="68"/>
      <c r="G305" s="68"/>
      <c r="H305" s="68"/>
      <c r="I305" s="68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9"/>
      <c r="B306" s="67"/>
      <c r="C306" s="68"/>
      <c r="D306" s="68"/>
      <c r="E306" s="68"/>
      <c r="F306" s="68"/>
      <c r="G306" s="68"/>
      <c r="H306" s="68"/>
      <c r="I306" s="68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9"/>
      <c r="B307" s="67"/>
      <c r="C307" s="68"/>
      <c r="D307" s="68"/>
      <c r="E307" s="68"/>
      <c r="F307" s="68"/>
      <c r="G307" s="68"/>
      <c r="H307" s="68"/>
      <c r="I307" s="68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9"/>
      <c r="B308" s="67"/>
      <c r="C308" s="68"/>
      <c r="D308" s="68"/>
      <c r="E308" s="68"/>
      <c r="F308" s="68"/>
      <c r="G308" s="68"/>
      <c r="H308" s="68"/>
      <c r="I308" s="68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9"/>
      <c r="B309" s="67"/>
      <c r="C309" s="68"/>
      <c r="D309" s="68"/>
      <c r="E309" s="68"/>
      <c r="F309" s="68"/>
      <c r="G309" s="68"/>
      <c r="H309" s="68"/>
      <c r="I309" s="68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9"/>
      <c r="B310" s="67"/>
      <c r="C310" s="68"/>
      <c r="D310" s="68"/>
      <c r="E310" s="68"/>
      <c r="F310" s="68"/>
      <c r="G310" s="68"/>
      <c r="H310" s="68"/>
      <c r="I310" s="68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9"/>
      <c r="B311" s="67"/>
      <c r="C311" s="68"/>
      <c r="D311" s="68"/>
      <c r="E311" s="68"/>
      <c r="F311" s="68"/>
      <c r="G311" s="68"/>
      <c r="H311" s="68"/>
      <c r="I311" s="68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9"/>
      <c r="B312" s="67"/>
      <c r="C312" s="68"/>
      <c r="D312" s="68"/>
      <c r="E312" s="68"/>
      <c r="F312" s="68"/>
      <c r="G312" s="68"/>
      <c r="H312" s="68"/>
      <c r="I312" s="68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9"/>
      <c r="B313" s="67"/>
      <c r="C313" s="68"/>
      <c r="D313" s="68"/>
      <c r="E313" s="68"/>
      <c r="F313" s="68"/>
      <c r="G313" s="68"/>
      <c r="H313" s="68"/>
      <c r="I313" s="68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9"/>
      <c r="B314" s="67"/>
      <c r="C314" s="68"/>
      <c r="D314" s="68"/>
      <c r="E314" s="68"/>
      <c r="F314" s="68"/>
      <c r="G314" s="68"/>
      <c r="H314" s="68"/>
      <c r="I314" s="68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9"/>
      <c r="B315" s="67"/>
      <c r="C315" s="68"/>
      <c r="D315" s="68"/>
      <c r="E315" s="68"/>
      <c r="F315" s="68"/>
      <c r="G315" s="68"/>
      <c r="H315" s="68"/>
      <c r="I315" s="68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9"/>
      <c r="B316" s="67"/>
      <c r="C316" s="68"/>
      <c r="D316" s="68"/>
      <c r="E316" s="68"/>
      <c r="F316" s="68"/>
      <c r="G316" s="68"/>
      <c r="H316" s="68"/>
      <c r="I316" s="68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9"/>
      <c r="B317" s="67"/>
      <c r="C317" s="68"/>
      <c r="D317" s="68"/>
      <c r="E317" s="68"/>
      <c r="F317" s="68"/>
      <c r="G317" s="68"/>
      <c r="H317" s="68"/>
      <c r="I317" s="68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9"/>
      <c r="B318" s="67"/>
      <c r="C318" s="68"/>
      <c r="D318" s="68"/>
      <c r="E318" s="68"/>
      <c r="F318" s="68"/>
      <c r="G318" s="68"/>
      <c r="H318" s="68"/>
      <c r="I318" s="68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9"/>
      <c r="B319" s="67"/>
      <c r="C319" s="68"/>
      <c r="D319" s="68"/>
      <c r="E319" s="68"/>
      <c r="F319" s="68"/>
      <c r="G319" s="68"/>
      <c r="H319" s="68"/>
      <c r="I319" s="68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9"/>
      <c r="B320" s="67"/>
      <c r="C320" s="68"/>
      <c r="D320" s="68"/>
      <c r="E320" s="68"/>
      <c r="F320" s="68"/>
      <c r="G320" s="68"/>
      <c r="H320" s="68"/>
      <c r="I320" s="68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9"/>
      <c r="B321" s="67"/>
      <c r="C321" s="68"/>
      <c r="D321" s="68"/>
      <c r="E321" s="68"/>
      <c r="F321" s="68"/>
      <c r="G321" s="68"/>
      <c r="H321" s="68"/>
      <c r="I321" s="68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9"/>
      <c r="B322" s="67"/>
      <c r="C322" s="68"/>
      <c r="D322" s="68"/>
      <c r="E322" s="68"/>
      <c r="F322" s="68"/>
      <c r="G322" s="68"/>
      <c r="H322" s="68"/>
      <c r="I322" s="68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9"/>
      <c r="B323" s="67"/>
      <c r="C323" s="68"/>
      <c r="D323" s="68"/>
      <c r="E323" s="68"/>
      <c r="F323" s="68"/>
      <c r="G323" s="68"/>
      <c r="H323" s="68"/>
      <c r="I323" s="68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9"/>
      <c r="B324" s="67"/>
      <c r="C324" s="68"/>
      <c r="D324" s="68"/>
      <c r="E324" s="68"/>
      <c r="F324" s="68"/>
      <c r="G324" s="68"/>
      <c r="H324" s="68"/>
      <c r="I324" s="68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9"/>
      <c r="B325" s="67"/>
      <c r="C325" s="68"/>
      <c r="D325" s="68"/>
      <c r="E325" s="68"/>
      <c r="F325" s="68"/>
      <c r="G325" s="68"/>
      <c r="H325" s="68"/>
      <c r="I325" s="68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9"/>
      <c r="B326" s="67"/>
      <c r="C326" s="68"/>
      <c r="D326" s="68"/>
      <c r="E326" s="68"/>
      <c r="F326" s="68"/>
      <c r="G326" s="68"/>
      <c r="H326" s="68"/>
      <c r="I326" s="68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9"/>
      <c r="B327" s="67"/>
      <c r="C327" s="68"/>
      <c r="D327" s="68"/>
      <c r="E327" s="68"/>
      <c r="F327" s="68"/>
      <c r="G327" s="68"/>
      <c r="H327" s="68"/>
      <c r="I327" s="68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9"/>
      <c r="B328" s="67"/>
      <c r="C328" s="68"/>
      <c r="D328" s="68"/>
      <c r="E328" s="68"/>
      <c r="F328" s="68"/>
      <c r="G328" s="68"/>
      <c r="H328" s="68"/>
      <c r="I328" s="68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9"/>
      <c r="B329" s="67"/>
      <c r="C329" s="68"/>
      <c r="D329" s="68"/>
      <c r="E329" s="68"/>
      <c r="F329" s="68"/>
      <c r="G329" s="68"/>
      <c r="H329" s="68"/>
      <c r="I329" s="68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9"/>
      <c r="B330" s="67"/>
      <c r="C330" s="68"/>
      <c r="D330" s="68"/>
      <c r="E330" s="68"/>
      <c r="F330" s="68"/>
      <c r="G330" s="68"/>
      <c r="H330" s="68"/>
      <c r="I330" s="68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9"/>
      <c r="B331" s="67"/>
      <c r="C331" s="68"/>
      <c r="D331" s="68"/>
      <c r="E331" s="68"/>
      <c r="F331" s="68"/>
      <c r="G331" s="68"/>
      <c r="H331" s="68"/>
      <c r="I331" s="68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9"/>
      <c r="B332" s="67"/>
      <c r="C332" s="68"/>
      <c r="D332" s="68"/>
      <c r="E332" s="68"/>
      <c r="F332" s="68"/>
      <c r="G332" s="68"/>
      <c r="H332" s="68"/>
      <c r="I332" s="68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9"/>
      <c r="B333" s="67"/>
      <c r="C333" s="68"/>
      <c r="D333" s="68"/>
      <c r="E333" s="68"/>
      <c r="F333" s="68"/>
      <c r="G333" s="68"/>
      <c r="H333" s="68"/>
      <c r="I333" s="68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9"/>
      <c r="B334" s="67"/>
      <c r="C334" s="68"/>
      <c r="D334" s="68"/>
      <c r="E334" s="68"/>
      <c r="F334" s="68"/>
      <c r="G334" s="68"/>
      <c r="H334" s="68"/>
      <c r="I334" s="68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9"/>
      <c r="B335" s="67"/>
      <c r="C335" s="68"/>
      <c r="D335" s="68"/>
      <c r="E335" s="68"/>
      <c r="F335" s="68"/>
      <c r="G335" s="68"/>
      <c r="H335" s="68"/>
      <c r="I335" s="68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9"/>
      <c r="B336" s="67"/>
      <c r="C336" s="68"/>
      <c r="D336" s="68"/>
      <c r="E336" s="68"/>
      <c r="F336" s="68"/>
      <c r="G336" s="68"/>
      <c r="H336" s="68"/>
      <c r="I336" s="68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9"/>
      <c r="B337" s="67"/>
      <c r="C337" s="68"/>
      <c r="D337" s="68"/>
      <c r="E337" s="68"/>
      <c r="F337" s="68"/>
      <c r="G337" s="68"/>
      <c r="H337" s="68"/>
      <c r="I337" s="68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9"/>
      <c r="B338" s="67"/>
      <c r="C338" s="68"/>
      <c r="D338" s="68"/>
      <c r="E338" s="68"/>
      <c r="F338" s="68"/>
      <c r="G338" s="68"/>
      <c r="H338" s="68"/>
      <c r="I338" s="68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9"/>
      <c r="B339" s="67"/>
      <c r="C339" s="68"/>
      <c r="D339" s="68"/>
      <c r="E339" s="68"/>
      <c r="F339" s="68"/>
      <c r="G339" s="68"/>
      <c r="H339" s="68"/>
      <c r="I339" s="68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9"/>
      <c r="B340" s="67"/>
      <c r="C340" s="68"/>
      <c r="D340" s="68"/>
      <c r="E340" s="68"/>
      <c r="F340" s="68"/>
      <c r="G340" s="68"/>
      <c r="H340" s="68"/>
      <c r="I340" s="68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9"/>
      <c r="B341" s="67"/>
      <c r="C341" s="68"/>
      <c r="D341" s="68"/>
      <c r="E341" s="68"/>
      <c r="F341" s="68"/>
      <c r="G341" s="68"/>
      <c r="H341" s="68"/>
      <c r="I341" s="68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9"/>
      <c r="B342" s="67"/>
      <c r="C342" s="68"/>
      <c r="D342" s="68"/>
      <c r="E342" s="68"/>
      <c r="F342" s="68"/>
      <c r="G342" s="68"/>
      <c r="H342" s="68"/>
      <c r="I342" s="68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9"/>
      <c r="B343" s="67"/>
      <c r="C343" s="68"/>
      <c r="D343" s="68"/>
      <c r="E343" s="68"/>
      <c r="F343" s="68"/>
      <c r="G343" s="68"/>
      <c r="H343" s="68"/>
      <c r="I343" s="68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9"/>
      <c r="B344" s="67"/>
      <c r="C344" s="68"/>
      <c r="D344" s="68"/>
      <c r="E344" s="68"/>
      <c r="F344" s="68"/>
      <c r="G344" s="68"/>
      <c r="H344" s="68"/>
      <c r="I344" s="68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9"/>
      <c r="B345" s="67"/>
      <c r="C345" s="68"/>
      <c r="D345" s="68"/>
      <c r="E345" s="68"/>
      <c r="F345" s="68"/>
      <c r="G345" s="68"/>
      <c r="H345" s="68"/>
      <c r="I345" s="68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9"/>
      <c r="B346" s="67"/>
      <c r="C346" s="68"/>
      <c r="D346" s="68"/>
      <c r="E346" s="68"/>
      <c r="F346" s="68"/>
      <c r="G346" s="68"/>
      <c r="H346" s="68"/>
      <c r="I346" s="68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9"/>
      <c r="B347" s="67"/>
      <c r="C347" s="68"/>
      <c r="D347" s="68"/>
      <c r="E347" s="68"/>
      <c r="F347" s="68"/>
      <c r="G347" s="68"/>
      <c r="H347" s="68"/>
      <c r="I347" s="68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9"/>
      <c r="B348" s="67"/>
      <c r="C348" s="68"/>
      <c r="D348" s="68"/>
      <c r="E348" s="68"/>
      <c r="F348" s="68"/>
      <c r="G348" s="68"/>
      <c r="H348" s="68"/>
      <c r="I348" s="68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9"/>
      <c r="B349" s="67"/>
      <c r="C349" s="68"/>
      <c r="D349" s="68"/>
      <c r="E349" s="68"/>
      <c r="F349" s="68"/>
      <c r="G349" s="68"/>
      <c r="H349" s="68"/>
      <c r="I349" s="68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9"/>
      <c r="B350" s="67"/>
      <c r="C350" s="68"/>
      <c r="D350" s="68"/>
      <c r="E350" s="68"/>
      <c r="F350" s="68"/>
      <c r="G350" s="68"/>
      <c r="H350" s="68"/>
      <c r="I350" s="68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9"/>
      <c r="B351" s="67"/>
      <c r="C351" s="68"/>
      <c r="D351" s="68"/>
      <c r="E351" s="68"/>
      <c r="F351" s="68"/>
      <c r="G351" s="68"/>
      <c r="H351" s="68"/>
      <c r="I351" s="68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9"/>
      <c r="B352" s="67"/>
      <c r="C352" s="68"/>
      <c r="D352" s="68"/>
      <c r="E352" s="68"/>
      <c r="F352" s="68"/>
      <c r="G352" s="68"/>
      <c r="H352" s="68"/>
      <c r="I352" s="68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9"/>
      <c r="B353" s="67"/>
      <c r="C353" s="68"/>
      <c r="D353" s="68"/>
      <c r="E353" s="68"/>
      <c r="F353" s="68"/>
      <c r="G353" s="68"/>
      <c r="H353" s="68"/>
      <c r="I353" s="68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9"/>
      <c r="B354" s="67"/>
      <c r="C354" s="68"/>
      <c r="D354" s="68"/>
      <c r="E354" s="68"/>
      <c r="F354" s="68"/>
      <c r="G354" s="68"/>
      <c r="H354" s="68"/>
      <c r="I354" s="68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9"/>
      <c r="B355" s="67"/>
      <c r="C355" s="68"/>
      <c r="D355" s="68"/>
      <c r="E355" s="68"/>
      <c r="F355" s="68"/>
      <c r="G355" s="68"/>
      <c r="H355" s="68"/>
      <c r="I355" s="68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9"/>
      <c r="B356" s="67"/>
      <c r="C356" s="68"/>
      <c r="D356" s="68"/>
      <c r="E356" s="68"/>
      <c r="F356" s="68"/>
      <c r="G356" s="68"/>
      <c r="H356" s="68"/>
      <c r="I356" s="68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9"/>
      <c r="B357" s="67"/>
      <c r="C357" s="68"/>
      <c r="D357" s="68"/>
      <c r="E357" s="68"/>
      <c r="F357" s="68"/>
      <c r="G357" s="68"/>
      <c r="H357" s="68"/>
      <c r="I357" s="68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9"/>
      <c r="B358" s="67"/>
      <c r="C358" s="68"/>
      <c r="D358" s="68"/>
      <c r="E358" s="68"/>
      <c r="F358" s="68"/>
      <c r="G358" s="68"/>
      <c r="H358" s="68"/>
      <c r="I358" s="68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9"/>
      <c r="B359" s="67"/>
      <c r="C359" s="68"/>
      <c r="D359" s="68"/>
      <c r="E359" s="68"/>
      <c r="F359" s="68"/>
      <c r="G359" s="68"/>
      <c r="H359" s="68"/>
      <c r="I359" s="68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9"/>
      <c r="B360" s="67"/>
      <c r="C360" s="68"/>
      <c r="D360" s="68"/>
      <c r="E360" s="68"/>
      <c r="F360" s="68"/>
      <c r="G360" s="68"/>
      <c r="H360" s="68"/>
      <c r="I360" s="68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9"/>
      <c r="B361" s="67"/>
      <c r="C361" s="68"/>
      <c r="D361" s="68"/>
      <c r="E361" s="68"/>
      <c r="F361" s="68"/>
      <c r="G361" s="68"/>
      <c r="H361" s="68"/>
      <c r="I361" s="68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9"/>
      <c r="B362" s="67"/>
      <c r="C362" s="68"/>
      <c r="D362" s="68"/>
      <c r="E362" s="68"/>
      <c r="F362" s="68"/>
      <c r="G362" s="68"/>
      <c r="H362" s="68"/>
      <c r="I362" s="68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9"/>
      <c r="B363" s="67"/>
      <c r="C363" s="68"/>
      <c r="D363" s="68"/>
      <c r="E363" s="68"/>
      <c r="F363" s="68"/>
      <c r="G363" s="68"/>
      <c r="H363" s="68"/>
      <c r="I363" s="68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9"/>
      <c r="B364" s="67"/>
      <c r="C364" s="68"/>
      <c r="D364" s="68"/>
      <c r="E364" s="68"/>
      <c r="F364" s="68"/>
      <c r="G364" s="68"/>
      <c r="H364" s="68"/>
      <c r="I364" s="68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9"/>
      <c r="B365" s="67"/>
      <c r="C365" s="68"/>
      <c r="D365" s="68"/>
      <c r="E365" s="68"/>
      <c r="F365" s="68"/>
      <c r="G365" s="68"/>
      <c r="H365" s="68"/>
      <c r="I365" s="68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9"/>
      <c r="B366" s="67"/>
      <c r="C366" s="68"/>
      <c r="D366" s="68"/>
      <c r="E366" s="68"/>
      <c r="F366" s="68"/>
      <c r="G366" s="68"/>
      <c r="H366" s="68"/>
      <c r="I366" s="68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9"/>
      <c r="B367" s="67"/>
      <c r="C367" s="68"/>
      <c r="D367" s="68"/>
      <c r="E367" s="68"/>
      <c r="F367" s="68"/>
      <c r="G367" s="68"/>
      <c r="H367" s="68"/>
      <c r="I367" s="68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9"/>
      <c r="B368" s="67"/>
      <c r="C368" s="68"/>
      <c r="D368" s="68"/>
      <c r="E368" s="68"/>
      <c r="F368" s="68"/>
      <c r="G368" s="68"/>
      <c r="H368" s="68"/>
      <c r="I368" s="68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9"/>
      <c r="B369" s="67"/>
      <c r="C369" s="68"/>
      <c r="D369" s="68"/>
      <c r="E369" s="68"/>
      <c r="F369" s="68"/>
      <c r="G369" s="68"/>
      <c r="H369" s="68"/>
      <c r="I369" s="68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9"/>
      <c r="B370" s="67"/>
      <c r="C370" s="68"/>
      <c r="D370" s="68"/>
      <c r="E370" s="68"/>
      <c r="F370" s="68"/>
      <c r="G370" s="68"/>
      <c r="H370" s="68"/>
      <c r="I370" s="68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9"/>
      <c r="B371" s="67"/>
      <c r="C371" s="68"/>
      <c r="D371" s="68"/>
      <c r="E371" s="68"/>
      <c r="F371" s="68"/>
      <c r="G371" s="68"/>
      <c r="H371" s="68"/>
      <c r="I371" s="68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9"/>
      <c r="B372" s="67"/>
      <c r="C372" s="68"/>
      <c r="D372" s="68"/>
      <c r="E372" s="68"/>
      <c r="F372" s="68"/>
      <c r="G372" s="68"/>
      <c r="H372" s="68"/>
      <c r="I372" s="68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9"/>
      <c r="B373" s="67"/>
      <c r="C373" s="68"/>
      <c r="D373" s="68"/>
      <c r="E373" s="68"/>
      <c r="F373" s="68"/>
      <c r="G373" s="68"/>
      <c r="H373" s="68"/>
      <c r="I373" s="68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9"/>
      <c r="B374" s="67"/>
      <c r="C374" s="68"/>
      <c r="D374" s="68"/>
      <c r="E374" s="68"/>
      <c r="F374" s="68"/>
      <c r="G374" s="68"/>
      <c r="H374" s="68"/>
      <c r="I374" s="68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9"/>
      <c r="B375" s="67"/>
      <c r="C375" s="68"/>
      <c r="D375" s="68"/>
      <c r="E375" s="68"/>
      <c r="F375" s="68"/>
      <c r="G375" s="68"/>
      <c r="H375" s="68"/>
      <c r="I375" s="68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9"/>
      <c r="B376" s="67"/>
      <c r="C376" s="68"/>
      <c r="D376" s="68"/>
      <c r="E376" s="68"/>
      <c r="F376" s="68"/>
      <c r="G376" s="68"/>
      <c r="H376" s="68"/>
      <c r="I376" s="68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9"/>
      <c r="B377" s="67"/>
      <c r="C377" s="68"/>
      <c r="D377" s="68"/>
      <c r="E377" s="68"/>
      <c r="F377" s="68"/>
      <c r="G377" s="68"/>
      <c r="H377" s="68"/>
      <c r="I377" s="68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9"/>
      <c r="B378" s="67"/>
      <c r="C378" s="68"/>
      <c r="D378" s="68"/>
      <c r="E378" s="68"/>
      <c r="F378" s="68"/>
      <c r="G378" s="68"/>
      <c r="H378" s="68"/>
      <c r="I378" s="68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9"/>
      <c r="B379" s="67"/>
      <c r="C379" s="68"/>
      <c r="D379" s="68"/>
      <c r="E379" s="68"/>
      <c r="F379" s="68"/>
      <c r="G379" s="68"/>
      <c r="H379" s="68"/>
      <c r="I379" s="68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9"/>
      <c r="B380" s="67"/>
      <c r="C380" s="68"/>
      <c r="D380" s="68"/>
      <c r="E380" s="68"/>
      <c r="F380" s="68"/>
      <c r="G380" s="68"/>
      <c r="H380" s="68"/>
      <c r="I380" s="68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9"/>
      <c r="B381" s="67"/>
      <c r="C381" s="68"/>
      <c r="D381" s="68"/>
      <c r="E381" s="68"/>
      <c r="F381" s="68"/>
      <c r="G381" s="68"/>
      <c r="H381" s="68"/>
      <c r="I381" s="68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9"/>
      <c r="B382" s="67"/>
      <c r="C382" s="68"/>
      <c r="D382" s="68"/>
      <c r="E382" s="68"/>
      <c r="F382" s="68"/>
      <c r="G382" s="68"/>
      <c r="H382" s="68"/>
      <c r="I382" s="68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9"/>
      <c r="B383" s="67"/>
      <c r="C383" s="68"/>
      <c r="D383" s="68"/>
      <c r="E383" s="68"/>
      <c r="F383" s="68"/>
      <c r="G383" s="68"/>
      <c r="H383" s="68"/>
      <c r="I383" s="68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9"/>
      <c r="B384" s="67"/>
      <c r="C384" s="68"/>
      <c r="D384" s="68"/>
      <c r="E384" s="68"/>
      <c r="F384" s="68"/>
      <c r="G384" s="68"/>
      <c r="H384" s="68"/>
      <c r="I384" s="68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9"/>
      <c r="B385" s="67"/>
      <c r="C385" s="68"/>
      <c r="D385" s="68"/>
      <c r="E385" s="68"/>
      <c r="F385" s="68"/>
      <c r="G385" s="68"/>
      <c r="H385" s="68"/>
      <c r="I385" s="68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9"/>
      <c r="B386" s="67"/>
      <c r="C386" s="68"/>
      <c r="D386" s="68"/>
      <c r="E386" s="68"/>
      <c r="F386" s="68"/>
      <c r="G386" s="68"/>
      <c r="H386" s="68"/>
      <c r="I386" s="68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9"/>
      <c r="B387" s="67"/>
      <c r="C387" s="68"/>
      <c r="D387" s="68"/>
      <c r="E387" s="68"/>
      <c r="F387" s="68"/>
      <c r="G387" s="68"/>
      <c r="H387" s="68"/>
      <c r="I387" s="68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9"/>
      <c r="B388" s="67"/>
      <c r="C388" s="68"/>
      <c r="D388" s="68"/>
      <c r="E388" s="68"/>
      <c r="F388" s="68"/>
      <c r="G388" s="68"/>
      <c r="H388" s="68"/>
      <c r="I388" s="68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9"/>
      <c r="B389" s="67"/>
      <c r="C389" s="68"/>
      <c r="D389" s="68"/>
      <c r="E389" s="68"/>
      <c r="F389" s="68"/>
      <c r="G389" s="68"/>
      <c r="H389" s="68"/>
      <c r="I389" s="68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9"/>
      <c r="B390" s="67"/>
      <c r="C390" s="68"/>
      <c r="D390" s="68"/>
      <c r="E390" s="68"/>
      <c r="F390" s="68"/>
      <c r="G390" s="68"/>
      <c r="H390" s="68"/>
      <c r="I390" s="68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9"/>
      <c r="B391" s="67"/>
      <c r="C391" s="68"/>
      <c r="D391" s="68"/>
      <c r="E391" s="68"/>
      <c r="F391" s="68"/>
      <c r="G391" s="68"/>
      <c r="H391" s="68"/>
      <c r="I391" s="68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9"/>
      <c r="B392" s="67"/>
      <c r="C392" s="68"/>
      <c r="D392" s="68"/>
      <c r="E392" s="68"/>
      <c r="F392" s="68"/>
      <c r="G392" s="68"/>
      <c r="H392" s="68"/>
      <c r="I392" s="68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9"/>
      <c r="B393" s="67"/>
      <c r="C393" s="68"/>
      <c r="D393" s="68"/>
      <c r="E393" s="68"/>
      <c r="F393" s="68"/>
      <c r="G393" s="68"/>
      <c r="H393" s="68"/>
      <c r="I393" s="68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9"/>
      <c r="B394" s="67"/>
      <c r="C394" s="68"/>
      <c r="D394" s="68"/>
      <c r="E394" s="68"/>
      <c r="F394" s="68"/>
      <c r="G394" s="68"/>
      <c r="H394" s="68"/>
      <c r="I394" s="68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9"/>
      <c r="B395" s="67"/>
      <c r="C395" s="68"/>
      <c r="D395" s="68"/>
      <c r="E395" s="68"/>
      <c r="F395" s="68"/>
      <c r="G395" s="68"/>
      <c r="H395" s="68"/>
      <c r="I395" s="68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9"/>
      <c r="B396" s="67"/>
      <c r="C396" s="68"/>
      <c r="D396" s="68"/>
      <c r="E396" s="68"/>
      <c r="F396" s="68"/>
      <c r="G396" s="68"/>
      <c r="H396" s="68"/>
      <c r="I396" s="68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9"/>
      <c r="B397" s="67"/>
      <c r="C397" s="68"/>
      <c r="D397" s="68"/>
      <c r="E397" s="68"/>
      <c r="F397" s="68"/>
      <c r="G397" s="68"/>
      <c r="H397" s="68"/>
      <c r="I397" s="68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9"/>
      <c r="B398" s="67"/>
      <c r="C398" s="68"/>
      <c r="D398" s="68"/>
      <c r="E398" s="68"/>
      <c r="F398" s="68"/>
      <c r="G398" s="68"/>
      <c r="H398" s="68"/>
      <c r="I398" s="68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9"/>
      <c r="B399" s="67"/>
      <c r="C399" s="68"/>
      <c r="D399" s="68"/>
      <c r="E399" s="68"/>
      <c r="F399" s="68"/>
      <c r="G399" s="68"/>
      <c r="H399" s="68"/>
      <c r="I399" s="68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9"/>
      <c r="B400" s="67"/>
      <c r="C400" s="68"/>
      <c r="D400" s="68"/>
      <c r="E400" s="68"/>
      <c r="F400" s="68"/>
      <c r="G400" s="68"/>
      <c r="H400" s="68"/>
      <c r="I400" s="68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9"/>
      <c r="B401" s="67"/>
      <c r="C401" s="68"/>
      <c r="D401" s="68"/>
      <c r="E401" s="68"/>
      <c r="F401" s="68"/>
      <c r="G401" s="68"/>
      <c r="H401" s="68"/>
      <c r="I401" s="68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9"/>
      <c r="B402" s="67"/>
      <c r="C402" s="68"/>
      <c r="D402" s="68"/>
      <c r="E402" s="68"/>
      <c r="F402" s="68"/>
      <c r="G402" s="68"/>
      <c r="H402" s="68"/>
      <c r="I402" s="68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9"/>
      <c r="B403" s="67"/>
      <c r="C403" s="68"/>
      <c r="D403" s="68"/>
      <c r="E403" s="68"/>
      <c r="F403" s="68"/>
      <c r="G403" s="68"/>
      <c r="H403" s="68"/>
      <c r="I403" s="68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9"/>
      <c r="B404" s="67"/>
      <c r="C404" s="68"/>
      <c r="D404" s="68"/>
      <c r="E404" s="68"/>
      <c r="F404" s="68"/>
      <c r="G404" s="68"/>
      <c r="H404" s="68"/>
      <c r="I404" s="68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9"/>
      <c r="B405" s="67"/>
      <c r="C405" s="68"/>
      <c r="D405" s="68"/>
      <c r="E405" s="68"/>
      <c r="F405" s="68"/>
      <c r="G405" s="68"/>
      <c r="H405" s="68"/>
      <c r="I405" s="68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9"/>
      <c r="B406" s="67"/>
      <c r="C406" s="68"/>
      <c r="D406" s="68"/>
      <c r="E406" s="68"/>
      <c r="F406" s="68"/>
      <c r="G406" s="68"/>
      <c r="H406" s="68"/>
      <c r="I406" s="68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9"/>
      <c r="B407" s="67"/>
      <c r="C407" s="68"/>
      <c r="D407" s="68"/>
      <c r="E407" s="68"/>
      <c r="F407" s="68"/>
      <c r="G407" s="68"/>
      <c r="H407" s="68"/>
      <c r="I407" s="68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9"/>
      <c r="B408" s="67"/>
      <c r="C408" s="68"/>
      <c r="D408" s="68"/>
      <c r="E408" s="68"/>
      <c r="F408" s="68"/>
      <c r="G408" s="68"/>
      <c r="H408" s="68"/>
      <c r="I408" s="68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9"/>
      <c r="B409" s="67"/>
      <c r="C409" s="68"/>
      <c r="D409" s="68"/>
      <c r="E409" s="68"/>
      <c r="F409" s="68"/>
      <c r="G409" s="68"/>
      <c r="H409" s="68"/>
      <c r="I409" s="68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9"/>
      <c r="B410" s="67"/>
      <c r="C410" s="68"/>
      <c r="D410" s="68"/>
      <c r="E410" s="68"/>
      <c r="F410" s="68"/>
      <c r="G410" s="68"/>
      <c r="H410" s="68"/>
      <c r="I410" s="68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9"/>
      <c r="B411" s="67"/>
      <c r="C411" s="68"/>
      <c r="D411" s="68"/>
      <c r="E411" s="68"/>
      <c r="F411" s="68"/>
      <c r="G411" s="68"/>
      <c r="H411" s="68"/>
      <c r="I411" s="68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9"/>
      <c r="B412" s="67"/>
      <c r="C412" s="68"/>
      <c r="D412" s="68"/>
      <c r="E412" s="68"/>
      <c r="F412" s="68"/>
      <c r="G412" s="68"/>
      <c r="H412" s="68"/>
      <c r="I412" s="68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9"/>
      <c r="B413" s="67"/>
      <c r="C413" s="68"/>
      <c r="D413" s="68"/>
      <c r="E413" s="68"/>
      <c r="F413" s="68"/>
      <c r="G413" s="68"/>
      <c r="H413" s="68"/>
      <c r="I413" s="68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9"/>
      <c r="B414" s="67"/>
      <c r="C414" s="68"/>
      <c r="D414" s="68"/>
      <c r="E414" s="68"/>
      <c r="F414" s="68"/>
      <c r="G414" s="68"/>
      <c r="H414" s="68"/>
      <c r="I414" s="68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9"/>
      <c r="B415" s="67"/>
      <c r="C415" s="68"/>
      <c r="D415" s="68"/>
      <c r="E415" s="68"/>
      <c r="F415" s="68"/>
      <c r="G415" s="68"/>
      <c r="H415" s="68"/>
      <c r="I415" s="68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9"/>
      <c r="B416" s="67"/>
      <c r="C416" s="68"/>
      <c r="D416" s="68"/>
      <c r="E416" s="68"/>
      <c r="F416" s="68"/>
      <c r="G416" s="68"/>
      <c r="H416" s="68"/>
      <c r="I416" s="68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9"/>
      <c r="B417" s="67"/>
      <c r="C417" s="68"/>
      <c r="D417" s="68"/>
      <c r="E417" s="68"/>
      <c r="F417" s="68"/>
      <c r="G417" s="68"/>
      <c r="H417" s="68"/>
      <c r="I417" s="68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9"/>
      <c r="B418" s="67"/>
      <c r="C418" s="68"/>
      <c r="D418" s="68"/>
      <c r="E418" s="68"/>
      <c r="F418" s="68"/>
      <c r="G418" s="68"/>
      <c r="H418" s="68"/>
      <c r="I418" s="68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9"/>
      <c r="B419" s="67"/>
      <c r="C419" s="68"/>
      <c r="D419" s="68"/>
      <c r="E419" s="68"/>
      <c r="F419" s="68"/>
      <c r="G419" s="68"/>
      <c r="H419" s="68"/>
      <c r="I419" s="68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9"/>
      <c r="B420" s="67"/>
      <c r="C420" s="68"/>
      <c r="D420" s="68"/>
      <c r="E420" s="68"/>
      <c r="F420" s="68"/>
      <c r="G420" s="68"/>
      <c r="H420" s="68"/>
      <c r="I420" s="68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9"/>
      <c r="B421" s="67"/>
      <c r="C421" s="68"/>
      <c r="D421" s="68"/>
      <c r="E421" s="68"/>
      <c r="F421" s="68"/>
      <c r="G421" s="68"/>
      <c r="H421" s="68"/>
      <c r="I421" s="68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9"/>
      <c r="B422" s="67"/>
      <c r="C422" s="68"/>
      <c r="D422" s="68"/>
      <c r="E422" s="68"/>
      <c r="F422" s="68"/>
      <c r="G422" s="68"/>
      <c r="H422" s="68"/>
      <c r="I422" s="68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9"/>
      <c r="B423" s="67"/>
      <c r="C423" s="68"/>
      <c r="D423" s="68"/>
      <c r="E423" s="68"/>
      <c r="F423" s="68"/>
      <c r="G423" s="68"/>
      <c r="H423" s="68"/>
      <c r="I423" s="68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9"/>
      <c r="B424" s="67"/>
      <c r="C424" s="68"/>
      <c r="D424" s="68"/>
      <c r="E424" s="68"/>
      <c r="F424" s="68"/>
      <c r="G424" s="68"/>
      <c r="H424" s="68"/>
      <c r="I424" s="68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9"/>
      <c r="B425" s="67"/>
      <c r="C425" s="68"/>
      <c r="D425" s="68"/>
      <c r="E425" s="68"/>
      <c r="F425" s="68"/>
      <c r="G425" s="68"/>
      <c r="H425" s="68"/>
      <c r="I425" s="68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9"/>
      <c r="B426" s="67"/>
      <c r="C426" s="68"/>
      <c r="D426" s="68"/>
      <c r="E426" s="68"/>
      <c r="F426" s="68"/>
      <c r="G426" s="68"/>
      <c r="H426" s="68"/>
      <c r="I426" s="68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9"/>
      <c r="B427" s="67"/>
      <c r="C427" s="68"/>
      <c r="D427" s="68"/>
      <c r="E427" s="68"/>
      <c r="F427" s="68"/>
      <c r="G427" s="68"/>
      <c r="H427" s="68"/>
      <c r="I427" s="68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9"/>
      <c r="B428" s="67"/>
      <c r="C428" s="68"/>
      <c r="D428" s="68"/>
      <c r="E428" s="68"/>
      <c r="F428" s="68"/>
      <c r="G428" s="68"/>
      <c r="H428" s="68"/>
      <c r="I428" s="68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9"/>
      <c r="B429" s="67"/>
      <c r="C429" s="68"/>
      <c r="D429" s="68"/>
      <c r="E429" s="68"/>
      <c r="F429" s="68"/>
      <c r="G429" s="68"/>
      <c r="H429" s="68"/>
      <c r="I429" s="68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9"/>
      <c r="B430" s="67"/>
      <c r="C430" s="68"/>
      <c r="D430" s="68"/>
      <c r="E430" s="68"/>
      <c r="F430" s="68"/>
      <c r="G430" s="68"/>
      <c r="H430" s="68"/>
      <c r="I430" s="68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9"/>
      <c r="B431" s="67"/>
      <c r="C431" s="68"/>
      <c r="D431" s="68"/>
      <c r="E431" s="68"/>
      <c r="F431" s="68"/>
      <c r="G431" s="68"/>
      <c r="H431" s="68"/>
      <c r="I431" s="68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9"/>
      <c r="B432" s="67"/>
      <c r="C432" s="68"/>
      <c r="D432" s="68"/>
      <c r="E432" s="68"/>
      <c r="F432" s="68"/>
      <c r="G432" s="68"/>
      <c r="H432" s="68"/>
      <c r="I432" s="68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9"/>
      <c r="B433" s="67"/>
      <c r="C433" s="68"/>
      <c r="D433" s="68"/>
      <c r="E433" s="68"/>
      <c r="F433" s="68"/>
      <c r="G433" s="68"/>
      <c r="H433" s="68"/>
      <c r="I433" s="68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9"/>
      <c r="B434" s="67"/>
      <c r="C434" s="68"/>
      <c r="D434" s="68"/>
      <c r="E434" s="68"/>
      <c r="F434" s="68"/>
      <c r="G434" s="68"/>
      <c r="H434" s="68"/>
      <c r="I434" s="68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9"/>
      <c r="B435" s="67"/>
      <c r="C435" s="68"/>
      <c r="D435" s="68"/>
      <c r="E435" s="68"/>
      <c r="F435" s="68"/>
      <c r="G435" s="68"/>
      <c r="H435" s="68"/>
      <c r="I435" s="68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9"/>
      <c r="B436" s="67"/>
      <c r="C436" s="68"/>
      <c r="D436" s="68"/>
      <c r="E436" s="68"/>
      <c r="F436" s="68"/>
      <c r="G436" s="68"/>
      <c r="H436" s="68"/>
      <c r="I436" s="68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9"/>
      <c r="B437" s="67"/>
      <c r="C437" s="68"/>
      <c r="D437" s="68"/>
      <c r="E437" s="68"/>
      <c r="F437" s="68"/>
      <c r="G437" s="68"/>
      <c r="H437" s="68"/>
      <c r="I437" s="68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9"/>
      <c r="B438" s="67"/>
      <c r="C438" s="68"/>
      <c r="D438" s="68"/>
      <c r="E438" s="68"/>
      <c r="F438" s="68"/>
      <c r="G438" s="68"/>
      <c r="H438" s="68"/>
      <c r="I438" s="68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9"/>
      <c r="B439" s="67"/>
      <c r="C439" s="68"/>
      <c r="D439" s="68"/>
      <c r="E439" s="68"/>
      <c r="F439" s="68"/>
      <c r="G439" s="68"/>
      <c r="H439" s="68"/>
      <c r="I439" s="68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9"/>
      <c r="B440" s="67"/>
      <c r="C440" s="68"/>
      <c r="D440" s="68"/>
      <c r="E440" s="68"/>
      <c r="F440" s="68"/>
      <c r="G440" s="68"/>
      <c r="H440" s="68"/>
      <c r="I440" s="68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9"/>
      <c r="B441" s="67"/>
      <c r="C441" s="68"/>
      <c r="D441" s="68"/>
      <c r="E441" s="68"/>
      <c r="F441" s="68"/>
      <c r="G441" s="68"/>
      <c r="H441" s="68"/>
      <c r="I441" s="68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9"/>
      <c r="B442" s="67"/>
      <c r="C442" s="68"/>
      <c r="D442" s="68"/>
      <c r="E442" s="68"/>
      <c r="F442" s="68"/>
      <c r="G442" s="68"/>
      <c r="H442" s="68"/>
      <c r="I442" s="68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9"/>
      <c r="B443" s="67"/>
      <c r="C443" s="68"/>
      <c r="D443" s="68"/>
      <c r="E443" s="68"/>
      <c r="F443" s="68"/>
      <c r="G443" s="68"/>
      <c r="H443" s="68"/>
      <c r="I443" s="68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9"/>
      <c r="B444" s="67"/>
      <c r="C444" s="68"/>
      <c r="D444" s="68"/>
      <c r="E444" s="68"/>
      <c r="F444" s="68"/>
      <c r="G444" s="68"/>
      <c r="H444" s="68"/>
      <c r="I444" s="68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9"/>
      <c r="B445" s="67"/>
      <c r="C445" s="68"/>
      <c r="D445" s="68"/>
      <c r="E445" s="68"/>
      <c r="F445" s="68"/>
      <c r="G445" s="68"/>
      <c r="H445" s="68"/>
      <c r="I445" s="68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9"/>
      <c r="B446" s="67"/>
      <c r="C446" s="68"/>
      <c r="D446" s="68"/>
      <c r="E446" s="68"/>
      <c r="F446" s="68"/>
      <c r="G446" s="68"/>
      <c r="H446" s="68"/>
      <c r="I446" s="68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9"/>
      <c r="B447" s="67"/>
      <c r="C447" s="68"/>
      <c r="D447" s="68"/>
      <c r="E447" s="68"/>
      <c r="F447" s="68"/>
      <c r="G447" s="68"/>
      <c r="H447" s="68"/>
      <c r="I447" s="68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9"/>
      <c r="B448" s="67"/>
      <c r="C448" s="68"/>
      <c r="D448" s="68"/>
      <c r="E448" s="68"/>
      <c r="F448" s="68"/>
      <c r="G448" s="68"/>
      <c r="H448" s="68"/>
      <c r="I448" s="68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9"/>
      <c r="B449" s="67"/>
      <c r="C449" s="68"/>
      <c r="D449" s="68"/>
      <c r="E449" s="68"/>
      <c r="F449" s="68"/>
      <c r="G449" s="68"/>
      <c r="H449" s="68"/>
      <c r="I449" s="68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9"/>
      <c r="B450" s="67"/>
      <c r="C450" s="68"/>
      <c r="D450" s="68"/>
      <c r="E450" s="68"/>
      <c r="F450" s="68"/>
      <c r="G450" s="68"/>
      <c r="H450" s="68"/>
      <c r="I450" s="68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9"/>
      <c r="B451" s="67"/>
      <c r="C451" s="68"/>
      <c r="D451" s="68"/>
      <c r="E451" s="68"/>
      <c r="F451" s="68"/>
      <c r="G451" s="68"/>
      <c r="H451" s="68"/>
      <c r="I451" s="68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9"/>
      <c r="B452" s="67"/>
      <c r="C452" s="68"/>
      <c r="D452" s="68"/>
      <c r="E452" s="68"/>
      <c r="F452" s="68"/>
      <c r="G452" s="68"/>
      <c r="H452" s="68"/>
      <c r="I452" s="68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9"/>
      <c r="B453" s="67"/>
      <c r="C453" s="68"/>
      <c r="D453" s="68"/>
      <c r="E453" s="68"/>
      <c r="F453" s="68"/>
      <c r="G453" s="68"/>
      <c r="H453" s="68"/>
      <c r="I453" s="68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9"/>
      <c r="B454" s="67"/>
      <c r="C454" s="68"/>
      <c r="D454" s="68"/>
      <c r="E454" s="68"/>
      <c r="F454" s="68"/>
      <c r="G454" s="68"/>
      <c r="H454" s="68"/>
      <c r="I454" s="68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9"/>
      <c r="B455" s="67"/>
      <c r="C455" s="68"/>
      <c r="D455" s="68"/>
      <c r="E455" s="68"/>
      <c r="F455" s="68"/>
      <c r="G455" s="68"/>
      <c r="H455" s="68"/>
      <c r="I455" s="68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9"/>
      <c r="B456" s="67"/>
      <c r="C456" s="68"/>
      <c r="D456" s="68"/>
      <c r="E456" s="68"/>
      <c r="F456" s="68"/>
      <c r="G456" s="68"/>
      <c r="H456" s="68"/>
      <c r="I456" s="68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9"/>
      <c r="B457" s="67"/>
      <c r="C457" s="68"/>
      <c r="D457" s="68"/>
      <c r="E457" s="68"/>
      <c r="F457" s="68"/>
      <c r="G457" s="68"/>
      <c r="H457" s="68"/>
      <c r="I457" s="68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9"/>
      <c r="B458" s="67"/>
      <c r="C458" s="68"/>
      <c r="D458" s="68"/>
      <c r="E458" s="68"/>
      <c r="F458" s="68"/>
      <c r="G458" s="68"/>
      <c r="H458" s="68"/>
      <c r="I458" s="68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9"/>
      <c r="B459" s="67"/>
      <c r="C459" s="68"/>
      <c r="D459" s="68"/>
      <c r="E459" s="68"/>
      <c r="F459" s="68"/>
      <c r="G459" s="68"/>
      <c r="H459" s="68"/>
      <c r="I459" s="68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9"/>
      <c r="B460" s="67"/>
      <c r="C460" s="68"/>
      <c r="D460" s="68"/>
      <c r="E460" s="68"/>
      <c r="F460" s="68"/>
      <c r="G460" s="68"/>
      <c r="H460" s="68"/>
      <c r="I460" s="68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9"/>
      <c r="B461" s="67"/>
      <c r="C461" s="68"/>
      <c r="D461" s="68"/>
      <c r="E461" s="68"/>
      <c r="F461" s="68"/>
      <c r="G461" s="68"/>
      <c r="H461" s="68"/>
      <c r="I461" s="68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9"/>
      <c r="B462" s="67"/>
      <c r="C462" s="68"/>
      <c r="D462" s="68"/>
      <c r="E462" s="68"/>
      <c r="F462" s="68"/>
      <c r="G462" s="68"/>
      <c r="H462" s="68"/>
      <c r="I462" s="68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9"/>
      <c r="B463" s="67"/>
      <c r="C463" s="68"/>
      <c r="D463" s="68"/>
      <c r="E463" s="68"/>
      <c r="F463" s="68"/>
      <c r="G463" s="68"/>
      <c r="H463" s="68"/>
      <c r="I463" s="68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9"/>
      <c r="B464" s="67"/>
      <c r="C464" s="68"/>
      <c r="D464" s="68"/>
      <c r="E464" s="68"/>
      <c r="F464" s="68"/>
      <c r="G464" s="68"/>
      <c r="H464" s="68"/>
      <c r="I464" s="68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9"/>
      <c r="B465" s="67"/>
      <c r="C465" s="68"/>
      <c r="D465" s="68"/>
      <c r="E465" s="68"/>
      <c r="F465" s="68"/>
      <c r="G465" s="68"/>
      <c r="H465" s="68"/>
      <c r="I465" s="68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9"/>
      <c r="B466" s="67"/>
      <c r="C466" s="68"/>
      <c r="D466" s="68"/>
      <c r="E466" s="68"/>
      <c r="F466" s="68"/>
      <c r="G466" s="68"/>
      <c r="H466" s="68"/>
      <c r="I466" s="68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9"/>
      <c r="B467" s="67"/>
      <c r="C467" s="68"/>
      <c r="D467" s="68"/>
      <c r="E467" s="68"/>
      <c r="F467" s="68"/>
      <c r="G467" s="68"/>
      <c r="H467" s="68"/>
      <c r="I467" s="68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9"/>
      <c r="B468" s="67"/>
      <c r="C468" s="68"/>
      <c r="D468" s="68"/>
      <c r="E468" s="68"/>
      <c r="F468" s="68"/>
      <c r="G468" s="68"/>
      <c r="H468" s="68"/>
      <c r="I468" s="68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9"/>
      <c r="B469" s="67"/>
      <c r="C469" s="68"/>
      <c r="D469" s="68"/>
      <c r="E469" s="68"/>
      <c r="F469" s="68"/>
      <c r="G469" s="68"/>
      <c r="H469" s="68"/>
      <c r="I469" s="68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9"/>
      <c r="B470" s="67"/>
      <c r="C470" s="68"/>
      <c r="D470" s="68"/>
      <c r="E470" s="68"/>
      <c r="F470" s="68"/>
      <c r="G470" s="68"/>
      <c r="H470" s="68"/>
      <c r="I470" s="68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9"/>
      <c r="B471" s="67"/>
      <c r="C471" s="68"/>
      <c r="D471" s="68"/>
      <c r="E471" s="68"/>
      <c r="F471" s="68"/>
      <c r="G471" s="68"/>
      <c r="H471" s="68"/>
      <c r="I471" s="68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9"/>
      <c r="B472" s="67"/>
      <c r="C472" s="68"/>
      <c r="D472" s="68"/>
      <c r="E472" s="68"/>
      <c r="F472" s="68"/>
      <c r="G472" s="68"/>
      <c r="H472" s="68"/>
      <c r="I472" s="68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9"/>
      <c r="B473" s="67"/>
      <c r="C473" s="68"/>
      <c r="D473" s="68"/>
      <c r="E473" s="68"/>
      <c r="F473" s="68"/>
      <c r="G473" s="68"/>
      <c r="H473" s="68"/>
      <c r="I473" s="68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9"/>
      <c r="B474" s="67"/>
      <c r="C474" s="68"/>
      <c r="D474" s="68"/>
      <c r="E474" s="68"/>
      <c r="F474" s="68"/>
      <c r="G474" s="68"/>
      <c r="H474" s="68"/>
      <c r="I474" s="68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9"/>
      <c r="B475" s="67"/>
      <c r="C475" s="68"/>
      <c r="D475" s="68"/>
      <c r="E475" s="68"/>
      <c r="F475" s="68"/>
      <c r="G475" s="68"/>
      <c r="H475" s="68"/>
      <c r="I475" s="68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9"/>
      <c r="B476" s="67"/>
      <c r="C476" s="68"/>
      <c r="D476" s="68"/>
      <c r="E476" s="68"/>
      <c r="F476" s="68"/>
      <c r="G476" s="68"/>
      <c r="H476" s="68"/>
      <c r="I476" s="68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9"/>
      <c r="B477" s="67"/>
      <c r="C477" s="68"/>
      <c r="D477" s="68"/>
      <c r="E477" s="68"/>
      <c r="F477" s="68"/>
      <c r="G477" s="68"/>
      <c r="H477" s="68"/>
      <c r="I477" s="68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9"/>
      <c r="B478" s="67"/>
      <c r="C478" s="68"/>
      <c r="D478" s="68"/>
      <c r="E478" s="68"/>
      <c r="F478" s="68"/>
      <c r="G478" s="68"/>
      <c r="H478" s="68"/>
      <c r="I478" s="68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9"/>
      <c r="B479" s="67"/>
      <c r="C479" s="68"/>
      <c r="D479" s="68"/>
      <c r="E479" s="68"/>
      <c r="F479" s="68"/>
      <c r="G479" s="68"/>
      <c r="H479" s="68"/>
      <c r="I479" s="68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9"/>
      <c r="B480" s="67"/>
      <c r="C480" s="68"/>
      <c r="D480" s="68"/>
      <c r="E480" s="68"/>
      <c r="F480" s="68"/>
      <c r="G480" s="68"/>
      <c r="H480" s="68"/>
      <c r="I480" s="68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9"/>
      <c r="B481" s="67"/>
      <c r="C481" s="68"/>
      <c r="D481" s="68"/>
      <c r="E481" s="68"/>
      <c r="F481" s="68"/>
      <c r="G481" s="68"/>
      <c r="H481" s="68"/>
      <c r="I481" s="68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9"/>
      <c r="B482" s="67"/>
      <c r="C482" s="68"/>
      <c r="D482" s="68"/>
      <c r="E482" s="68"/>
      <c r="F482" s="68"/>
      <c r="G482" s="68"/>
      <c r="H482" s="68"/>
      <c r="I482" s="68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9"/>
      <c r="B483" s="67"/>
      <c r="C483" s="68"/>
      <c r="D483" s="68"/>
      <c r="E483" s="68"/>
      <c r="F483" s="68"/>
      <c r="G483" s="68"/>
      <c r="H483" s="68"/>
      <c r="I483" s="68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9"/>
      <c r="B484" s="67"/>
      <c r="C484" s="68"/>
      <c r="D484" s="68"/>
      <c r="E484" s="68"/>
      <c r="F484" s="68"/>
      <c r="G484" s="68"/>
      <c r="H484" s="68"/>
      <c r="I484" s="68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9"/>
      <c r="B485" s="67"/>
      <c r="C485" s="68"/>
      <c r="D485" s="68"/>
      <c r="E485" s="68"/>
      <c r="F485" s="68"/>
      <c r="G485" s="68"/>
      <c r="H485" s="68"/>
      <c r="I485" s="68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9"/>
      <c r="B486" s="67"/>
      <c r="C486" s="68"/>
      <c r="D486" s="68"/>
      <c r="E486" s="68"/>
      <c r="F486" s="68"/>
      <c r="G486" s="68"/>
      <c r="H486" s="68"/>
      <c r="I486" s="68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9"/>
      <c r="B487" s="67"/>
      <c r="C487" s="68"/>
      <c r="D487" s="68"/>
      <c r="E487" s="68"/>
      <c r="F487" s="68"/>
      <c r="G487" s="68"/>
      <c r="H487" s="68"/>
      <c r="I487" s="68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9"/>
      <c r="B488" s="67"/>
      <c r="C488" s="68"/>
      <c r="D488" s="68"/>
      <c r="E488" s="68"/>
      <c r="F488" s="68"/>
      <c r="G488" s="68"/>
      <c r="H488" s="68"/>
      <c r="I488" s="68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9"/>
      <c r="B489" s="67"/>
      <c r="C489" s="68"/>
      <c r="D489" s="68"/>
      <c r="E489" s="68"/>
      <c r="F489" s="68"/>
      <c r="G489" s="68"/>
      <c r="H489" s="68"/>
      <c r="I489" s="68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9"/>
      <c r="B490" s="67"/>
      <c r="C490" s="68"/>
      <c r="D490" s="68"/>
      <c r="E490" s="68"/>
      <c r="F490" s="68"/>
      <c r="G490" s="68"/>
      <c r="H490" s="68"/>
      <c r="I490" s="68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9"/>
      <c r="B491" s="67"/>
      <c r="C491" s="68"/>
      <c r="D491" s="68"/>
      <c r="E491" s="68"/>
      <c r="F491" s="68"/>
      <c r="G491" s="68"/>
      <c r="H491" s="68"/>
      <c r="I491" s="68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9"/>
      <c r="B492" s="67"/>
      <c r="C492" s="68"/>
      <c r="D492" s="68"/>
      <c r="E492" s="68"/>
      <c r="F492" s="68"/>
      <c r="G492" s="68"/>
      <c r="H492" s="68"/>
      <c r="I492" s="68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9"/>
      <c r="B493" s="67"/>
      <c r="C493" s="68"/>
      <c r="D493" s="68"/>
      <c r="E493" s="68"/>
      <c r="F493" s="68"/>
      <c r="G493" s="68"/>
      <c r="H493" s="68"/>
      <c r="I493" s="68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9"/>
      <c r="B494" s="67"/>
      <c r="C494" s="68"/>
      <c r="D494" s="68"/>
      <c r="E494" s="68"/>
      <c r="F494" s="68"/>
      <c r="G494" s="68"/>
      <c r="H494" s="68"/>
      <c r="I494" s="68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9"/>
      <c r="B495" s="67"/>
      <c r="C495" s="68"/>
      <c r="D495" s="68"/>
      <c r="E495" s="68"/>
      <c r="F495" s="68"/>
      <c r="G495" s="68"/>
      <c r="H495" s="68"/>
      <c r="I495" s="68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9"/>
      <c r="B496" s="67"/>
      <c r="C496" s="68"/>
      <c r="D496" s="68"/>
      <c r="E496" s="68"/>
      <c r="F496" s="68"/>
      <c r="G496" s="68"/>
      <c r="H496" s="68"/>
      <c r="I496" s="68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9"/>
      <c r="B497" s="67"/>
      <c r="C497" s="68"/>
      <c r="D497" s="68"/>
      <c r="E497" s="68"/>
      <c r="F497" s="68"/>
      <c r="G497" s="68"/>
      <c r="H497" s="68"/>
      <c r="I497" s="68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9"/>
      <c r="B498" s="67"/>
      <c r="C498" s="68"/>
      <c r="D498" s="68"/>
      <c r="E498" s="68"/>
      <c r="F498" s="68"/>
      <c r="G498" s="68"/>
      <c r="H498" s="68"/>
      <c r="I498" s="68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9"/>
      <c r="B499" s="67"/>
      <c r="C499" s="68"/>
      <c r="D499" s="68"/>
      <c r="E499" s="68"/>
      <c r="F499" s="68"/>
      <c r="G499" s="68"/>
      <c r="H499" s="68"/>
      <c r="I499" s="68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9"/>
      <c r="B500" s="67"/>
      <c r="C500" s="68"/>
      <c r="D500" s="68"/>
      <c r="E500" s="68"/>
      <c r="F500" s="68"/>
      <c r="G500" s="68"/>
      <c r="H500" s="68"/>
      <c r="I500" s="68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9"/>
      <c r="B501" s="67"/>
      <c r="C501" s="68"/>
      <c r="D501" s="68"/>
      <c r="E501" s="68"/>
      <c r="F501" s="68"/>
      <c r="G501" s="68"/>
      <c r="H501" s="68"/>
      <c r="I501" s="68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9"/>
      <c r="B502" s="67"/>
      <c r="C502" s="68"/>
      <c r="D502" s="68"/>
      <c r="E502" s="68"/>
      <c r="F502" s="68"/>
      <c r="G502" s="68"/>
      <c r="H502" s="68"/>
      <c r="I502" s="68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9"/>
      <c r="B503" s="67"/>
      <c r="C503" s="68"/>
      <c r="D503" s="68"/>
      <c r="E503" s="68"/>
      <c r="F503" s="68"/>
      <c r="G503" s="68"/>
      <c r="H503" s="68"/>
      <c r="I503" s="68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9"/>
      <c r="B504" s="67"/>
      <c r="C504" s="68"/>
      <c r="D504" s="68"/>
      <c r="E504" s="68"/>
      <c r="F504" s="68"/>
      <c r="G504" s="68"/>
      <c r="H504" s="68"/>
      <c r="I504" s="68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9"/>
      <c r="B505" s="67"/>
      <c r="C505" s="68"/>
      <c r="D505" s="68"/>
      <c r="E505" s="68"/>
      <c r="F505" s="68"/>
      <c r="G505" s="68"/>
      <c r="H505" s="68"/>
      <c r="I505" s="68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9"/>
      <c r="B506" s="67"/>
      <c r="C506" s="68"/>
      <c r="D506" s="68"/>
      <c r="E506" s="68"/>
      <c r="F506" s="68"/>
      <c r="G506" s="68"/>
      <c r="H506" s="68"/>
      <c r="I506" s="68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9"/>
      <c r="B507" s="67"/>
      <c r="C507" s="68"/>
      <c r="D507" s="68"/>
      <c r="E507" s="68"/>
      <c r="F507" s="68"/>
      <c r="G507" s="68"/>
      <c r="H507" s="68"/>
      <c r="I507" s="68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9"/>
      <c r="B508" s="67"/>
      <c r="C508" s="68"/>
      <c r="D508" s="68"/>
      <c r="E508" s="68"/>
      <c r="F508" s="68"/>
      <c r="G508" s="68"/>
      <c r="H508" s="68"/>
      <c r="I508" s="68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9"/>
      <c r="B509" s="67"/>
      <c r="C509" s="68"/>
      <c r="D509" s="68"/>
      <c r="E509" s="68"/>
      <c r="F509" s="68"/>
      <c r="G509" s="68"/>
      <c r="H509" s="68"/>
      <c r="I509" s="68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9"/>
      <c r="B510" s="67"/>
      <c r="C510" s="68"/>
      <c r="D510" s="68"/>
      <c r="E510" s="68"/>
      <c r="F510" s="68"/>
      <c r="G510" s="68"/>
      <c r="H510" s="68"/>
      <c r="I510" s="68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9"/>
      <c r="B511" s="67"/>
      <c r="C511" s="68"/>
      <c r="D511" s="68"/>
      <c r="E511" s="68"/>
      <c r="F511" s="68"/>
      <c r="G511" s="68"/>
      <c r="H511" s="68"/>
      <c r="I511" s="68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9"/>
      <c r="B512" s="67"/>
      <c r="C512" s="68"/>
      <c r="D512" s="68"/>
      <c r="E512" s="68"/>
      <c r="F512" s="68"/>
      <c r="G512" s="68"/>
      <c r="H512" s="68"/>
      <c r="I512" s="68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9"/>
      <c r="B513" s="67"/>
      <c r="C513" s="68"/>
      <c r="D513" s="68"/>
      <c r="E513" s="68"/>
      <c r="F513" s="68"/>
      <c r="G513" s="68"/>
      <c r="H513" s="68"/>
      <c r="I513" s="68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9"/>
      <c r="B514" s="67"/>
      <c r="C514" s="68"/>
      <c r="D514" s="68"/>
      <c r="E514" s="68"/>
      <c r="F514" s="68"/>
      <c r="G514" s="68"/>
      <c r="H514" s="68"/>
      <c r="I514" s="68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9"/>
      <c r="B515" s="67"/>
      <c r="C515" s="68"/>
      <c r="D515" s="68"/>
      <c r="E515" s="68"/>
      <c r="F515" s="68"/>
      <c r="G515" s="68"/>
      <c r="H515" s="68"/>
      <c r="I515" s="68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9"/>
      <c r="B516" s="67"/>
      <c r="C516" s="68"/>
      <c r="D516" s="68"/>
      <c r="E516" s="68"/>
      <c r="F516" s="68"/>
      <c r="G516" s="68"/>
      <c r="H516" s="68"/>
      <c r="I516" s="68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9"/>
      <c r="B517" s="67"/>
      <c r="C517" s="68"/>
      <c r="D517" s="68"/>
      <c r="E517" s="68"/>
      <c r="F517" s="68"/>
      <c r="G517" s="68"/>
      <c r="H517" s="68"/>
      <c r="I517" s="68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9"/>
      <c r="B518" s="67"/>
      <c r="C518" s="68"/>
      <c r="D518" s="68"/>
      <c r="E518" s="68"/>
      <c r="F518" s="68"/>
      <c r="G518" s="68"/>
      <c r="H518" s="68"/>
      <c r="I518" s="68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9"/>
      <c r="B519" s="67"/>
      <c r="C519" s="68"/>
      <c r="D519" s="68"/>
      <c r="E519" s="68"/>
      <c r="F519" s="68"/>
      <c r="G519" s="68"/>
      <c r="H519" s="68"/>
      <c r="I519" s="68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9"/>
      <c r="B520" s="67"/>
      <c r="C520" s="68"/>
      <c r="D520" s="68"/>
      <c r="E520" s="68"/>
      <c r="F520" s="68"/>
      <c r="G520" s="68"/>
      <c r="H520" s="68"/>
      <c r="I520" s="68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9"/>
      <c r="B521" s="67"/>
      <c r="C521" s="68"/>
      <c r="D521" s="68"/>
      <c r="E521" s="68"/>
      <c r="F521" s="68"/>
      <c r="G521" s="68"/>
      <c r="H521" s="68"/>
      <c r="I521" s="68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9"/>
      <c r="B522" s="67"/>
      <c r="C522" s="68"/>
      <c r="D522" s="68"/>
      <c r="E522" s="68"/>
      <c r="F522" s="68"/>
      <c r="G522" s="68"/>
      <c r="H522" s="68"/>
      <c r="I522" s="68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9"/>
      <c r="B523" s="67"/>
      <c r="C523" s="68"/>
      <c r="D523" s="68"/>
      <c r="E523" s="68"/>
      <c r="F523" s="68"/>
      <c r="G523" s="68"/>
      <c r="H523" s="68"/>
      <c r="I523" s="68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9"/>
      <c r="B524" s="67"/>
      <c r="C524" s="68"/>
      <c r="D524" s="68"/>
      <c r="E524" s="68"/>
      <c r="F524" s="68"/>
      <c r="G524" s="68"/>
      <c r="H524" s="68"/>
      <c r="I524" s="68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9"/>
      <c r="B525" s="67"/>
      <c r="C525" s="68"/>
      <c r="D525" s="68"/>
      <c r="E525" s="68"/>
      <c r="F525" s="68"/>
      <c r="G525" s="68"/>
      <c r="H525" s="68"/>
      <c r="I525" s="68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9"/>
      <c r="B526" s="67"/>
      <c r="C526" s="68"/>
      <c r="D526" s="68"/>
      <c r="E526" s="68"/>
      <c r="F526" s="68"/>
      <c r="G526" s="68"/>
      <c r="H526" s="68"/>
      <c r="I526" s="68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9"/>
      <c r="B527" s="67"/>
      <c r="C527" s="68"/>
      <c r="D527" s="68"/>
      <c r="E527" s="68"/>
      <c r="F527" s="68"/>
      <c r="G527" s="68"/>
      <c r="H527" s="68"/>
      <c r="I527" s="68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9"/>
      <c r="B528" s="67"/>
      <c r="C528" s="68"/>
      <c r="D528" s="68"/>
      <c r="E528" s="68"/>
      <c r="F528" s="68"/>
      <c r="G528" s="68"/>
      <c r="H528" s="68"/>
      <c r="I528" s="68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9"/>
      <c r="B529" s="67"/>
      <c r="C529" s="68"/>
      <c r="D529" s="68"/>
      <c r="E529" s="68"/>
      <c r="F529" s="68"/>
      <c r="G529" s="68"/>
      <c r="H529" s="68"/>
      <c r="I529" s="68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9"/>
      <c r="B530" s="67"/>
      <c r="C530" s="68"/>
      <c r="D530" s="68"/>
      <c r="E530" s="68"/>
      <c r="F530" s="68"/>
      <c r="G530" s="68"/>
      <c r="H530" s="68"/>
      <c r="I530" s="68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9"/>
      <c r="B531" s="67"/>
      <c r="C531" s="68"/>
      <c r="D531" s="68"/>
      <c r="E531" s="68"/>
      <c r="F531" s="68"/>
      <c r="G531" s="68"/>
      <c r="H531" s="68"/>
      <c r="I531" s="68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9"/>
      <c r="B532" s="67"/>
      <c r="C532" s="68"/>
      <c r="D532" s="68"/>
      <c r="E532" s="68"/>
      <c r="F532" s="68"/>
      <c r="G532" s="68"/>
      <c r="H532" s="68"/>
      <c r="I532" s="68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9"/>
      <c r="B533" s="67"/>
      <c r="C533" s="68"/>
      <c r="D533" s="68"/>
      <c r="E533" s="68"/>
      <c r="F533" s="68"/>
      <c r="G533" s="68"/>
      <c r="H533" s="68"/>
      <c r="I533" s="68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9"/>
      <c r="B534" s="67"/>
      <c r="C534" s="68"/>
      <c r="D534" s="68"/>
      <c r="E534" s="68"/>
      <c r="F534" s="68"/>
      <c r="G534" s="68"/>
      <c r="H534" s="68"/>
      <c r="I534" s="68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9"/>
      <c r="B535" s="67"/>
      <c r="C535" s="68"/>
      <c r="D535" s="68"/>
      <c r="E535" s="68"/>
      <c r="F535" s="68"/>
      <c r="G535" s="68"/>
      <c r="H535" s="68"/>
      <c r="I535" s="68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9"/>
      <c r="B536" s="67"/>
      <c r="C536" s="68"/>
      <c r="D536" s="68"/>
      <c r="E536" s="68"/>
      <c r="F536" s="68"/>
      <c r="G536" s="68"/>
      <c r="H536" s="68"/>
      <c r="I536" s="68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9"/>
      <c r="B537" s="67"/>
      <c r="C537" s="68"/>
      <c r="D537" s="68"/>
      <c r="E537" s="68"/>
      <c r="F537" s="68"/>
      <c r="G537" s="68"/>
      <c r="H537" s="68"/>
      <c r="I537" s="68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9"/>
      <c r="B538" s="67"/>
      <c r="C538" s="68"/>
      <c r="D538" s="68"/>
      <c r="E538" s="68"/>
      <c r="F538" s="68"/>
      <c r="G538" s="68"/>
      <c r="H538" s="68"/>
      <c r="I538" s="68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9"/>
      <c r="B539" s="67"/>
      <c r="C539" s="68"/>
      <c r="D539" s="68"/>
      <c r="E539" s="68"/>
      <c r="F539" s="68"/>
      <c r="G539" s="68"/>
      <c r="H539" s="68"/>
      <c r="I539" s="68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9"/>
      <c r="B540" s="67"/>
      <c r="C540" s="68"/>
      <c r="D540" s="68"/>
      <c r="E540" s="68"/>
      <c r="F540" s="68"/>
      <c r="G540" s="68"/>
      <c r="H540" s="68"/>
      <c r="I540" s="68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9"/>
      <c r="B541" s="67"/>
      <c r="C541" s="68"/>
      <c r="D541" s="68"/>
      <c r="E541" s="68"/>
      <c r="F541" s="68"/>
      <c r="G541" s="68"/>
      <c r="H541" s="68"/>
      <c r="I541" s="68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9"/>
      <c r="B542" s="67"/>
      <c r="C542" s="68"/>
      <c r="D542" s="68"/>
      <c r="E542" s="68"/>
      <c r="F542" s="68"/>
      <c r="G542" s="68"/>
      <c r="H542" s="68"/>
      <c r="I542" s="68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9"/>
      <c r="B543" s="67"/>
      <c r="C543" s="68"/>
      <c r="D543" s="68"/>
      <c r="E543" s="68"/>
      <c r="F543" s="68"/>
      <c r="G543" s="68"/>
      <c r="H543" s="68"/>
      <c r="I543" s="68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9"/>
      <c r="B544" s="67"/>
      <c r="C544" s="68"/>
      <c r="D544" s="68"/>
      <c r="E544" s="68"/>
      <c r="F544" s="68"/>
      <c r="G544" s="68"/>
      <c r="H544" s="68"/>
      <c r="I544" s="68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9"/>
      <c r="B545" s="67"/>
      <c r="C545" s="68"/>
      <c r="D545" s="68"/>
      <c r="E545" s="68"/>
      <c r="F545" s="68"/>
      <c r="G545" s="68"/>
      <c r="H545" s="68"/>
      <c r="I545" s="68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9"/>
      <c r="B546" s="67"/>
      <c r="C546" s="68"/>
      <c r="D546" s="68"/>
      <c r="E546" s="68"/>
      <c r="F546" s="68"/>
      <c r="G546" s="68"/>
      <c r="H546" s="68"/>
      <c r="I546" s="68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9"/>
      <c r="B547" s="67"/>
      <c r="C547" s="68"/>
      <c r="D547" s="68"/>
      <c r="E547" s="68"/>
      <c r="F547" s="68"/>
      <c r="G547" s="68"/>
      <c r="H547" s="68"/>
      <c r="I547" s="68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9"/>
      <c r="B548" s="67"/>
      <c r="C548" s="68"/>
      <c r="D548" s="68"/>
      <c r="E548" s="68"/>
      <c r="F548" s="68"/>
      <c r="G548" s="68"/>
      <c r="H548" s="68"/>
      <c r="I548" s="68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9"/>
      <c r="B549" s="67"/>
      <c r="C549" s="68"/>
      <c r="D549" s="68"/>
      <c r="E549" s="68"/>
      <c r="F549" s="68"/>
      <c r="G549" s="68"/>
      <c r="H549" s="68"/>
      <c r="I549" s="68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9"/>
      <c r="B550" s="67"/>
      <c r="C550" s="68"/>
      <c r="D550" s="68"/>
      <c r="E550" s="68"/>
      <c r="F550" s="68"/>
      <c r="G550" s="68"/>
      <c r="H550" s="68"/>
      <c r="I550" s="68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9"/>
      <c r="B551" s="67"/>
      <c r="C551" s="68"/>
      <c r="D551" s="68"/>
      <c r="E551" s="68"/>
      <c r="F551" s="68"/>
      <c r="G551" s="68"/>
      <c r="H551" s="68"/>
      <c r="I551" s="68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9"/>
      <c r="B552" s="67"/>
      <c r="C552" s="68"/>
      <c r="D552" s="68"/>
      <c r="E552" s="68"/>
      <c r="F552" s="68"/>
      <c r="G552" s="68"/>
      <c r="H552" s="68"/>
      <c r="I552" s="68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9"/>
      <c r="B553" s="67"/>
      <c r="C553" s="68"/>
      <c r="D553" s="68"/>
      <c r="E553" s="68"/>
      <c r="F553" s="68"/>
      <c r="G553" s="68"/>
      <c r="H553" s="68"/>
      <c r="I553" s="68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9"/>
      <c r="B554" s="67"/>
      <c r="C554" s="68"/>
      <c r="D554" s="68"/>
      <c r="E554" s="68"/>
      <c r="F554" s="68"/>
      <c r="G554" s="68"/>
      <c r="H554" s="68"/>
      <c r="I554" s="68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9"/>
      <c r="B555" s="67"/>
      <c r="C555" s="68"/>
      <c r="D555" s="68"/>
      <c r="E555" s="68"/>
      <c r="F555" s="68"/>
      <c r="G555" s="68"/>
      <c r="H555" s="68"/>
      <c r="I555" s="68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9"/>
      <c r="B556" s="67"/>
      <c r="C556" s="68"/>
      <c r="D556" s="68"/>
      <c r="E556" s="68"/>
      <c r="F556" s="68"/>
      <c r="G556" s="68"/>
      <c r="H556" s="68"/>
      <c r="I556" s="68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9"/>
      <c r="B557" s="67"/>
      <c r="C557" s="68"/>
      <c r="D557" s="68"/>
      <c r="E557" s="68"/>
      <c r="F557" s="68"/>
      <c r="G557" s="68"/>
      <c r="H557" s="68"/>
      <c r="I557" s="68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9"/>
      <c r="B558" s="67"/>
      <c r="C558" s="68"/>
      <c r="D558" s="68"/>
      <c r="E558" s="68"/>
      <c r="F558" s="68"/>
      <c r="G558" s="68"/>
      <c r="H558" s="68"/>
      <c r="I558" s="68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9"/>
      <c r="B559" s="67"/>
      <c r="C559" s="68"/>
      <c r="D559" s="68"/>
      <c r="E559" s="68"/>
      <c r="F559" s="68"/>
      <c r="G559" s="68"/>
      <c r="H559" s="68"/>
      <c r="I559" s="68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9"/>
      <c r="B560" s="67"/>
      <c r="C560" s="68"/>
      <c r="D560" s="68"/>
      <c r="E560" s="68"/>
      <c r="F560" s="68"/>
      <c r="G560" s="68"/>
      <c r="H560" s="68"/>
      <c r="I560" s="68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9"/>
      <c r="B561" s="67"/>
      <c r="C561" s="68"/>
      <c r="D561" s="68"/>
      <c r="E561" s="68"/>
      <c r="F561" s="68"/>
      <c r="G561" s="68"/>
      <c r="H561" s="68"/>
      <c r="I561" s="68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9"/>
      <c r="B562" s="67"/>
      <c r="C562" s="68"/>
      <c r="D562" s="68"/>
      <c r="E562" s="68"/>
      <c r="F562" s="68"/>
      <c r="G562" s="68"/>
      <c r="H562" s="68"/>
      <c r="I562" s="68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9"/>
      <c r="B563" s="67"/>
      <c r="C563" s="68"/>
      <c r="D563" s="68"/>
      <c r="E563" s="68"/>
      <c r="F563" s="68"/>
      <c r="G563" s="68"/>
      <c r="H563" s="68"/>
      <c r="I563" s="68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9"/>
      <c r="B564" s="67"/>
      <c r="C564" s="68"/>
      <c r="D564" s="68"/>
      <c r="E564" s="68"/>
      <c r="F564" s="68"/>
      <c r="G564" s="68"/>
      <c r="H564" s="68"/>
      <c r="I564" s="68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9"/>
      <c r="B565" s="67"/>
      <c r="C565" s="68"/>
      <c r="D565" s="68"/>
      <c r="E565" s="68"/>
      <c r="F565" s="68"/>
      <c r="G565" s="68"/>
      <c r="H565" s="68"/>
      <c r="I565" s="68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9"/>
      <c r="B566" s="67"/>
      <c r="C566" s="68"/>
      <c r="D566" s="68"/>
      <c r="E566" s="68"/>
      <c r="F566" s="68"/>
      <c r="G566" s="68"/>
      <c r="H566" s="68"/>
      <c r="I566" s="68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9"/>
      <c r="B567" s="67"/>
      <c r="C567" s="68"/>
      <c r="D567" s="68"/>
      <c r="E567" s="68"/>
      <c r="F567" s="68"/>
      <c r="G567" s="68"/>
      <c r="H567" s="68"/>
      <c r="I567" s="68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9"/>
      <c r="B568" s="67"/>
      <c r="C568" s="68"/>
      <c r="D568" s="68"/>
      <c r="E568" s="68"/>
      <c r="F568" s="68"/>
      <c r="G568" s="68"/>
      <c r="H568" s="68"/>
      <c r="I568" s="68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9"/>
      <c r="B569" s="67"/>
      <c r="C569" s="68"/>
      <c r="D569" s="68"/>
      <c r="E569" s="68"/>
      <c r="F569" s="68"/>
      <c r="G569" s="68"/>
      <c r="H569" s="68"/>
      <c r="I569" s="68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9"/>
      <c r="B570" s="67"/>
      <c r="C570" s="68"/>
      <c r="D570" s="68"/>
      <c r="E570" s="68"/>
      <c r="F570" s="68"/>
      <c r="G570" s="68"/>
      <c r="H570" s="68"/>
      <c r="I570" s="68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9"/>
      <c r="B571" s="67"/>
      <c r="C571" s="68"/>
      <c r="D571" s="68"/>
      <c r="E571" s="68"/>
      <c r="F571" s="68"/>
      <c r="G571" s="68"/>
      <c r="H571" s="68"/>
      <c r="I571" s="68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9"/>
      <c r="B572" s="67"/>
      <c r="C572" s="68"/>
      <c r="D572" s="68"/>
      <c r="E572" s="68"/>
      <c r="F572" s="68"/>
      <c r="G572" s="68"/>
      <c r="H572" s="68"/>
      <c r="I572" s="68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9"/>
      <c r="B573" s="67"/>
      <c r="C573" s="68"/>
      <c r="D573" s="68"/>
      <c r="E573" s="68"/>
      <c r="F573" s="68"/>
      <c r="G573" s="68"/>
      <c r="H573" s="68"/>
      <c r="I573" s="68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9"/>
      <c r="B574" s="67"/>
      <c r="C574" s="68"/>
      <c r="D574" s="68"/>
      <c r="E574" s="68"/>
      <c r="F574" s="68"/>
      <c r="G574" s="68"/>
      <c r="H574" s="68"/>
      <c r="I574" s="68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9"/>
      <c r="B575" s="67"/>
      <c r="C575" s="68"/>
      <c r="D575" s="68"/>
      <c r="E575" s="68"/>
      <c r="F575" s="68"/>
      <c r="G575" s="68"/>
      <c r="H575" s="68"/>
      <c r="I575" s="68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9"/>
      <c r="B576" s="67"/>
      <c r="C576" s="68"/>
      <c r="D576" s="68"/>
      <c r="E576" s="68"/>
      <c r="F576" s="68"/>
      <c r="G576" s="68"/>
      <c r="H576" s="68"/>
      <c r="I576" s="68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9"/>
      <c r="B577" s="67"/>
      <c r="C577" s="68"/>
      <c r="D577" s="68"/>
      <c r="E577" s="68"/>
      <c r="F577" s="68"/>
      <c r="G577" s="68"/>
      <c r="H577" s="68"/>
      <c r="I577" s="68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9"/>
      <c r="B578" s="67"/>
      <c r="C578" s="68"/>
      <c r="D578" s="68"/>
      <c r="E578" s="68"/>
      <c r="F578" s="68"/>
      <c r="G578" s="68"/>
      <c r="H578" s="68"/>
      <c r="I578" s="68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9"/>
      <c r="B579" s="67"/>
      <c r="C579" s="68"/>
      <c r="D579" s="68"/>
      <c r="E579" s="68"/>
      <c r="F579" s="68"/>
      <c r="G579" s="68"/>
      <c r="H579" s="68"/>
      <c r="I579" s="68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9"/>
      <c r="B580" s="67"/>
      <c r="C580" s="68"/>
      <c r="D580" s="68"/>
      <c r="E580" s="68"/>
      <c r="F580" s="68"/>
      <c r="G580" s="68"/>
      <c r="H580" s="68"/>
      <c r="I580" s="68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9"/>
      <c r="B581" s="67"/>
      <c r="C581" s="68"/>
      <c r="D581" s="68"/>
      <c r="E581" s="68"/>
      <c r="F581" s="68"/>
      <c r="G581" s="68"/>
      <c r="H581" s="68"/>
      <c r="I581" s="68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9"/>
      <c r="B582" s="67"/>
      <c r="C582" s="68"/>
      <c r="D582" s="68"/>
      <c r="E582" s="68"/>
      <c r="F582" s="68"/>
      <c r="G582" s="68"/>
      <c r="H582" s="68"/>
      <c r="I582" s="68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9"/>
      <c r="B583" s="67"/>
      <c r="C583" s="68"/>
      <c r="D583" s="68"/>
      <c r="E583" s="68"/>
      <c r="F583" s="68"/>
      <c r="G583" s="68"/>
      <c r="H583" s="68"/>
      <c r="I583" s="68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9"/>
      <c r="B584" s="67"/>
      <c r="C584" s="68"/>
      <c r="D584" s="68"/>
      <c r="E584" s="68"/>
      <c r="F584" s="68"/>
      <c r="G584" s="68"/>
      <c r="H584" s="68"/>
      <c r="I584" s="68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9"/>
      <c r="B585" s="67"/>
      <c r="C585" s="68"/>
      <c r="D585" s="68"/>
      <c r="E585" s="68"/>
      <c r="F585" s="68"/>
      <c r="G585" s="68"/>
      <c r="H585" s="68"/>
      <c r="I585" s="68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9"/>
      <c r="B586" s="67"/>
      <c r="C586" s="68"/>
      <c r="D586" s="68"/>
      <c r="E586" s="68"/>
      <c r="F586" s="68"/>
      <c r="G586" s="68"/>
      <c r="H586" s="68"/>
      <c r="I586" s="68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9"/>
      <c r="B587" s="67"/>
      <c r="C587" s="68"/>
      <c r="D587" s="68"/>
      <c r="E587" s="68"/>
      <c r="F587" s="68"/>
      <c r="G587" s="68"/>
      <c r="H587" s="68"/>
      <c r="I587" s="68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9"/>
      <c r="B588" s="67"/>
      <c r="C588" s="68"/>
      <c r="D588" s="68"/>
      <c r="E588" s="68"/>
      <c r="F588" s="68"/>
      <c r="G588" s="68"/>
      <c r="H588" s="68"/>
      <c r="I588" s="68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9"/>
      <c r="B589" s="67"/>
      <c r="C589" s="68"/>
      <c r="D589" s="68"/>
      <c r="E589" s="68"/>
      <c r="F589" s="68"/>
      <c r="G589" s="68"/>
      <c r="H589" s="68"/>
      <c r="I589" s="68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9"/>
      <c r="B590" s="67"/>
      <c r="C590" s="68"/>
      <c r="D590" s="68"/>
      <c r="E590" s="68"/>
      <c r="F590" s="68"/>
      <c r="G590" s="68"/>
      <c r="H590" s="68"/>
      <c r="I590" s="68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9"/>
      <c r="B591" s="67"/>
      <c r="C591" s="68"/>
      <c r="D591" s="68"/>
      <c r="E591" s="68"/>
      <c r="F591" s="68"/>
      <c r="G591" s="68"/>
      <c r="H591" s="68"/>
      <c r="I591" s="68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9"/>
      <c r="B592" s="67"/>
      <c r="C592" s="68"/>
      <c r="D592" s="68"/>
      <c r="E592" s="68"/>
      <c r="F592" s="68"/>
      <c r="G592" s="68"/>
      <c r="H592" s="68"/>
      <c r="I592" s="68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9"/>
      <c r="B593" s="67"/>
      <c r="C593" s="68"/>
      <c r="D593" s="68"/>
      <c r="E593" s="68"/>
      <c r="F593" s="68"/>
      <c r="G593" s="68"/>
      <c r="H593" s="68"/>
      <c r="I593" s="68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9"/>
      <c r="B594" s="67"/>
      <c r="C594" s="68"/>
      <c r="D594" s="68"/>
      <c r="E594" s="68"/>
      <c r="F594" s="68"/>
      <c r="G594" s="68"/>
      <c r="H594" s="68"/>
      <c r="I594" s="68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9"/>
      <c r="B595" s="67"/>
      <c r="C595" s="68"/>
      <c r="D595" s="68"/>
      <c r="E595" s="68"/>
      <c r="F595" s="68"/>
      <c r="G595" s="68"/>
      <c r="H595" s="68"/>
      <c r="I595" s="68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9"/>
      <c r="B596" s="67"/>
      <c r="C596" s="68"/>
      <c r="D596" s="68"/>
      <c r="E596" s="68"/>
      <c r="F596" s="68"/>
      <c r="G596" s="68"/>
      <c r="H596" s="68"/>
      <c r="I596" s="68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9"/>
      <c r="B597" s="67"/>
      <c r="C597" s="68"/>
      <c r="D597" s="68"/>
      <c r="E597" s="68"/>
      <c r="F597" s="68"/>
      <c r="G597" s="68"/>
      <c r="H597" s="68"/>
      <c r="I597" s="68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9"/>
      <c r="B598" s="67"/>
      <c r="C598" s="68"/>
      <c r="D598" s="68"/>
      <c r="E598" s="68"/>
      <c r="F598" s="68"/>
      <c r="G598" s="68"/>
      <c r="H598" s="68"/>
      <c r="I598" s="68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9"/>
      <c r="B599" s="67"/>
      <c r="C599" s="68"/>
      <c r="D599" s="68"/>
      <c r="E599" s="68"/>
      <c r="F599" s="68"/>
      <c r="G599" s="68"/>
      <c r="H599" s="68"/>
      <c r="I599" s="68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9"/>
      <c r="B600" s="67"/>
      <c r="C600" s="68"/>
      <c r="D600" s="68"/>
      <c r="E600" s="68"/>
      <c r="F600" s="68"/>
      <c r="G600" s="68"/>
      <c r="H600" s="68"/>
      <c r="I600" s="68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9"/>
      <c r="B601" s="67"/>
      <c r="C601" s="68"/>
      <c r="D601" s="68"/>
      <c r="E601" s="68"/>
      <c r="F601" s="68"/>
      <c r="G601" s="68"/>
      <c r="H601" s="68"/>
      <c r="I601" s="68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9"/>
      <c r="B602" s="67"/>
      <c r="C602" s="68"/>
      <c r="D602" s="68"/>
      <c r="E602" s="68"/>
      <c r="F602" s="68"/>
      <c r="G602" s="68"/>
      <c r="H602" s="68"/>
      <c r="I602" s="68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9"/>
      <c r="B603" s="67"/>
      <c r="C603" s="68"/>
      <c r="D603" s="68"/>
      <c r="E603" s="68"/>
      <c r="F603" s="68"/>
      <c r="G603" s="68"/>
      <c r="H603" s="68"/>
      <c r="I603" s="68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9"/>
      <c r="B604" s="67"/>
      <c r="C604" s="68"/>
      <c r="D604" s="68"/>
      <c r="E604" s="68"/>
      <c r="F604" s="68"/>
      <c r="G604" s="68"/>
      <c r="H604" s="68"/>
      <c r="I604" s="68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9"/>
      <c r="B605" s="67"/>
      <c r="C605" s="68"/>
      <c r="D605" s="68"/>
      <c r="E605" s="68"/>
      <c r="F605" s="68"/>
      <c r="G605" s="68"/>
      <c r="H605" s="68"/>
      <c r="I605" s="68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9"/>
      <c r="B606" s="67"/>
      <c r="C606" s="68"/>
      <c r="D606" s="68"/>
      <c r="E606" s="68"/>
      <c r="F606" s="68"/>
      <c r="G606" s="68"/>
      <c r="H606" s="68"/>
      <c r="I606" s="68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9"/>
      <c r="B607" s="67"/>
      <c r="C607" s="68"/>
      <c r="D607" s="68"/>
      <c r="E607" s="68"/>
      <c r="F607" s="68"/>
      <c r="G607" s="68"/>
      <c r="H607" s="68"/>
      <c r="I607" s="68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9"/>
      <c r="B608" s="67"/>
      <c r="C608" s="68"/>
      <c r="D608" s="68"/>
      <c r="E608" s="68"/>
      <c r="F608" s="68"/>
      <c r="G608" s="68"/>
      <c r="H608" s="68"/>
      <c r="I608" s="68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9"/>
      <c r="B609" s="67"/>
      <c r="C609" s="68"/>
      <c r="D609" s="68"/>
      <c r="E609" s="68"/>
      <c r="F609" s="68"/>
      <c r="G609" s="68"/>
      <c r="H609" s="68"/>
      <c r="I609" s="68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9"/>
      <c r="B610" s="67"/>
      <c r="C610" s="68"/>
      <c r="D610" s="68"/>
      <c r="E610" s="68"/>
      <c r="F610" s="68"/>
      <c r="G610" s="68"/>
      <c r="H610" s="68"/>
      <c r="I610" s="68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9"/>
      <c r="B611" s="67"/>
      <c r="C611" s="68"/>
      <c r="D611" s="68"/>
      <c r="E611" s="68"/>
      <c r="F611" s="68"/>
      <c r="G611" s="68"/>
      <c r="H611" s="68"/>
      <c r="I611" s="68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9"/>
      <c r="B612" s="67"/>
      <c r="C612" s="68"/>
      <c r="D612" s="68"/>
      <c r="E612" s="68"/>
      <c r="F612" s="68"/>
      <c r="G612" s="68"/>
      <c r="H612" s="68"/>
      <c r="I612" s="68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9"/>
      <c r="B613" s="67"/>
      <c r="C613" s="68"/>
      <c r="D613" s="68"/>
      <c r="E613" s="68"/>
      <c r="F613" s="68"/>
      <c r="G613" s="68"/>
      <c r="H613" s="68"/>
      <c r="I613" s="68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9"/>
      <c r="B614" s="67"/>
      <c r="C614" s="68"/>
      <c r="D614" s="68"/>
      <c r="E614" s="68"/>
      <c r="F614" s="68"/>
      <c r="G614" s="68"/>
      <c r="H614" s="68"/>
      <c r="I614" s="68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9"/>
      <c r="B615" s="67"/>
      <c r="C615" s="68"/>
      <c r="D615" s="68"/>
      <c r="E615" s="68"/>
      <c r="F615" s="68"/>
      <c r="G615" s="68"/>
      <c r="H615" s="68"/>
      <c r="I615" s="68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9"/>
      <c r="B616" s="67"/>
      <c r="C616" s="68"/>
      <c r="D616" s="68"/>
      <c r="E616" s="68"/>
      <c r="F616" s="68"/>
      <c r="G616" s="68"/>
      <c r="H616" s="68"/>
      <c r="I616" s="68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9"/>
      <c r="B617" s="67"/>
      <c r="C617" s="68"/>
      <c r="D617" s="68"/>
      <c r="E617" s="68"/>
      <c r="F617" s="68"/>
      <c r="G617" s="68"/>
      <c r="H617" s="68"/>
      <c r="I617" s="68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9"/>
      <c r="B618" s="67"/>
      <c r="C618" s="68"/>
      <c r="D618" s="68"/>
      <c r="E618" s="68"/>
      <c r="F618" s="68"/>
      <c r="G618" s="68"/>
      <c r="H618" s="68"/>
      <c r="I618" s="68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9"/>
      <c r="B619" s="67"/>
      <c r="C619" s="68"/>
      <c r="D619" s="68"/>
      <c r="E619" s="68"/>
      <c r="F619" s="68"/>
      <c r="G619" s="68"/>
      <c r="H619" s="68"/>
      <c r="I619" s="68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9"/>
      <c r="B620" s="67"/>
      <c r="C620" s="68"/>
      <c r="D620" s="68"/>
      <c r="E620" s="68"/>
      <c r="F620" s="68"/>
      <c r="G620" s="68"/>
      <c r="H620" s="68"/>
      <c r="I620" s="68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9"/>
      <c r="B621" s="67"/>
      <c r="C621" s="68"/>
      <c r="D621" s="68"/>
      <c r="E621" s="68"/>
      <c r="F621" s="68"/>
      <c r="G621" s="68"/>
      <c r="H621" s="68"/>
      <c r="I621" s="68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9"/>
      <c r="B622" s="67"/>
      <c r="C622" s="68"/>
      <c r="D622" s="68"/>
      <c r="E622" s="68"/>
      <c r="F622" s="68"/>
      <c r="G622" s="68"/>
      <c r="H622" s="68"/>
      <c r="I622" s="68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9"/>
      <c r="B623" s="67"/>
      <c r="C623" s="68"/>
      <c r="D623" s="68"/>
      <c r="E623" s="68"/>
      <c r="F623" s="68"/>
      <c r="G623" s="68"/>
      <c r="H623" s="68"/>
      <c r="I623" s="68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9"/>
      <c r="B624" s="67"/>
      <c r="C624" s="68"/>
      <c r="D624" s="68"/>
      <c r="E624" s="68"/>
      <c r="F624" s="68"/>
      <c r="G624" s="68"/>
      <c r="H624" s="68"/>
      <c r="I624" s="68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9"/>
      <c r="B625" s="67"/>
      <c r="C625" s="68"/>
      <c r="D625" s="68"/>
      <c r="E625" s="68"/>
      <c r="F625" s="68"/>
      <c r="G625" s="68"/>
      <c r="H625" s="68"/>
      <c r="I625" s="68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9"/>
      <c r="B626" s="67"/>
      <c r="C626" s="68"/>
      <c r="D626" s="68"/>
      <c r="E626" s="68"/>
      <c r="F626" s="68"/>
      <c r="G626" s="68"/>
      <c r="H626" s="68"/>
      <c r="I626" s="68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9"/>
      <c r="B627" s="67"/>
      <c r="C627" s="68"/>
      <c r="D627" s="68"/>
      <c r="E627" s="68"/>
      <c r="F627" s="68"/>
      <c r="G627" s="68"/>
      <c r="H627" s="68"/>
      <c r="I627" s="68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9"/>
      <c r="B628" s="67"/>
      <c r="C628" s="68"/>
      <c r="D628" s="68"/>
      <c r="E628" s="68"/>
      <c r="F628" s="68"/>
      <c r="G628" s="68"/>
      <c r="H628" s="68"/>
      <c r="I628" s="68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9"/>
      <c r="B629" s="67"/>
      <c r="C629" s="68"/>
      <c r="D629" s="68"/>
      <c r="E629" s="68"/>
      <c r="F629" s="68"/>
      <c r="G629" s="68"/>
      <c r="H629" s="68"/>
      <c r="I629" s="68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9"/>
      <c r="B630" s="67"/>
      <c r="C630" s="68"/>
      <c r="D630" s="68"/>
      <c r="E630" s="68"/>
      <c r="F630" s="68"/>
      <c r="G630" s="68"/>
      <c r="H630" s="68"/>
      <c r="I630" s="68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9"/>
      <c r="B631" s="67"/>
      <c r="C631" s="68"/>
      <c r="D631" s="68"/>
      <c r="E631" s="68"/>
      <c r="F631" s="68"/>
      <c r="G631" s="68"/>
      <c r="H631" s="68"/>
      <c r="I631" s="68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9"/>
      <c r="B632" s="67"/>
      <c r="C632" s="68"/>
      <c r="D632" s="68"/>
      <c r="E632" s="68"/>
      <c r="F632" s="68"/>
      <c r="G632" s="68"/>
      <c r="H632" s="68"/>
      <c r="I632" s="68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9"/>
      <c r="B633" s="67"/>
      <c r="C633" s="68"/>
      <c r="D633" s="68"/>
      <c r="E633" s="68"/>
      <c r="F633" s="68"/>
      <c r="G633" s="68"/>
      <c r="H633" s="68"/>
      <c r="I633" s="68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9"/>
      <c r="B634" s="67"/>
      <c r="C634" s="68"/>
      <c r="D634" s="68"/>
      <c r="E634" s="68"/>
      <c r="F634" s="68"/>
      <c r="G634" s="68"/>
      <c r="H634" s="68"/>
      <c r="I634" s="68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9"/>
      <c r="B635" s="67"/>
      <c r="C635" s="68"/>
      <c r="D635" s="68"/>
      <c r="E635" s="68"/>
      <c r="F635" s="68"/>
      <c r="G635" s="68"/>
      <c r="H635" s="68"/>
      <c r="I635" s="68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9"/>
      <c r="B636" s="67"/>
      <c r="C636" s="68"/>
      <c r="D636" s="68"/>
      <c r="E636" s="68"/>
      <c r="F636" s="68"/>
      <c r="G636" s="68"/>
      <c r="H636" s="68"/>
      <c r="I636" s="68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9"/>
      <c r="B637" s="67"/>
      <c r="C637" s="68"/>
      <c r="D637" s="68"/>
      <c r="E637" s="68"/>
      <c r="F637" s="68"/>
      <c r="G637" s="68"/>
      <c r="H637" s="68"/>
      <c r="I637" s="68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9"/>
      <c r="B638" s="67"/>
      <c r="C638" s="68"/>
      <c r="D638" s="68"/>
      <c r="E638" s="68"/>
      <c r="F638" s="68"/>
      <c r="G638" s="68"/>
      <c r="H638" s="68"/>
      <c r="I638" s="68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9"/>
      <c r="B639" s="67"/>
      <c r="C639" s="68"/>
      <c r="D639" s="68"/>
      <c r="E639" s="68"/>
      <c r="F639" s="68"/>
      <c r="G639" s="68"/>
      <c r="H639" s="68"/>
      <c r="I639" s="68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9"/>
      <c r="B640" s="67"/>
      <c r="C640" s="68"/>
      <c r="D640" s="68"/>
      <c r="E640" s="68"/>
      <c r="F640" s="68"/>
      <c r="G640" s="68"/>
      <c r="H640" s="68"/>
      <c r="I640" s="68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9"/>
      <c r="B641" s="67"/>
      <c r="C641" s="68"/>
      <c r="D641" s="68"/>
      <c r="E641" s="68"/>
      <c r="F641" s="68"/>
      <c r="G641" s="68"/>
      <c r="H641" s="68"/>
      <c r="I641" s="68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9"/>
      <c r="B642" s="67"/>
      <c r="C642" s="68"/>
      <c r="D642" s="68"/>
      <c r="E642" s="68"/>
      <c r="F642" s="68"/>
      <c r="G642" s="68"/>
      <c r="H642" s="68"/>
      <c r="I642" s="68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9"/>
      <c r="B643" s="67"/>
      <c r="C643" s="68"/>
      <c r="D643" s="68"/>
      <c r="E643" s="68"/>
      <c r="F643" s="68"/>
      <c r="G643" s="68"/>
      <c r="H643" s="68"/>
      <c r="I643" s="68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9"/>
      <c r="B644" s="67"/>
      <c r="C644" s="68"/>
      <c r="D644" s="68"/>
      <c r="E644" s="68"/>
      <c r="F644" s="68"/>
      <c r="G644" s="68"/>
      <c r="H644" s="68"/>
      <c r="I644" s="68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9"/>
      <c r="B645" s="67"/>
      <c r="C645" s="68"/>
      <c r="D645" s="68"/>
      <c r="E645" s="68"/>
      <c r="F645" s="68"/>
      <c r="G645" s="68"/>
      <c r="H645" s="68"/>
      <c r="I645" s="68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9"/>
      <c r="B646" s="67"/>
      <c r="C646" s="68"/>
      <c r="D646" s="68"/>
      <c r="E646" s="68"/>
      <c r="F646" s="68"/>
      <c r="G646" s="68"/>
      <c r="H646" s="68"/>
      <c r="I646" s="68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9"/>
      <c r="B647" s="67"/>
      <c r="C647" s="68"/>
      <c r="D647" s="68"/>
      <c r="E647" s="68"/>
      <c r="F647" s="68"/>
      <c r="G647" s="68"/>
      <c r="H647" s="68"/>
      <c r="I647" s="68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9"/>
      <c r="B648" s="67"/>
      <c r="C648" s="68"/>
      <c r="D648" s="68"/>
      <c r="E648" s="68"/>
      <c r="F648" s="68"/>
      <c r="G648" s="68"/>
      <c r="H648" s="68"/>
      <c r="I648" s="68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9"/>
      <c r="B649" s="67"/>
      <c r="C649" s="68"/>
      <c r="D649" s="68"/>
      <c r="E649" s="68"/>
      <c r="F649" s="68"/>
      <c r="G649" s="68"/>
      <c r="H649" s="68"/>
      <c r="I649" s="68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9"/>
      <c r="B650" s="67"/>
      <c r="C650" s="68"/>
      <c r="D650" s="68"/>
      <c r="E650" s="68"/>
      <c r="F650" s="68"/>
      <c r="G650" s="68"/>
      <c r="H650" s="68"/>
      <c r="I650" s="68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9"/>
      <c r="B651" s="67"/>
      <c r="C651" s="68"/>
      <c r="D651" s="68"/>
      <c r="E651" s="68"/>
      <c r="F651" s="68"/>
      <c r="G651" s="68"/>
      <c r="H651" s="68"/>
      <c r="I651" s="68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9"/>
      <c r="B652" s="67"/>
      <c r="C652" s="68"/>
      <c r="D652" s="68"/>
      <c r="E652" s="68"/>
      <c r="F652" s="68"/>
      <c r="G652" s="68"/>
      <c r="H652" s="68"/>
      <c r="I652" s="68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9"/>
      <c r="B653" s="67"/>
      <c r="C653" s="68"/>
      <c r="D653" s="68"/>
      <c r="E653" s="68"/>
      <c r="F653" s="68"/>
      <c r="G653" s="68"/>
      <c r="H653" s="68"/>
      <c r="I653" s="68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9"/>
      <c r="B654" s="67"/>
      <c r="C654" s="68"/>
      <c r="D654" s="68"/>
      <c r="E654" s="68"/>
      <c r="F654" s="68"/>
      <c r="G654" s="68"/>
      <c r="H654" s="68"/>
      <c r="I654" s="68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9"/>
      <c r="B655" s="67"/>
      <c r="C655" s="68"/>
      <c r="D655" s="68"/>
      <c r="E655" s="68"/>
      <c r="F655" s="68"/>
      <c r="G655" s="68"/>
      <c r="H655" s="68"/>
      <c r="I655" s="68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9"/>
      <c r="B656" s="67"/>
      <c r="C656" s="68"/>
      <c r="D656" s="68"/>
      <c r="E656" s="68"/>
      <c r="F656" s="68"/>
      <c r="G656" s="68"/>
      <c r="H656" s="68"/>
      <c r="I656" s="68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9"/>
      <c r="B657" s="67"/>
      <c r="C657" s="68"/>
      <c r="D657" s="68"/>
      <c r="E657" s="68"/>
      <c r="F657" s="68"/>
      <c r="G657" s="68"/>
      <c r="H657" s="68"/>
      <c r="I657" s="68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9"/>
      <c r="B658" s="67"/>
      <c r="C658" s="68"/>
      <c r="D658" s="68"/>
      <c r="E658" s="68"/>
      <c r="F658" s="68"/>
      <c r="G658" s="68"/>
      <c r="H658" s="68"/>
      <c r="I658" s="68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9"/>
      <c r="B659" s="67"/>
      <c r="C659" s="68"/>
      <c r="D659" s="68"/>
      <c r="E659" s="68"/>
      <c r="F659" s="68"/>
      <c r="G659" s="68"/>
      <c r="H659" s="68"/>
      <c r="I659" s="68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9"/>
      <c r="B660" s="67"/>
      <c r="C660" s="68"/>
      <c r="D660" s="68"/>
      <c r="E660" s="68"/>
      <c r="F660" s="68"/>
      <c r="G660" s="68"/>
      <c r="H660" s="68"/>
      <c r="I660" s="68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9"/>
      <c r="B661" s="67"/>
      <c r="C661" s="68"/>
      <c r="D661" s="68"/>
      <c r="E661" s="68"/>
      <c r="F661" s="68"/>
      <c r="G661" s="68"/>
      <c r="H661" s="68"/>
      <c r="I661" s="68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9"/>
      <c r="B662" s="67"/>
      <c r="C662" s="68"/>
      <c r="D662" s="68"/>
      <c r="E662" s="68"/>
      <c r="F662" s="68"/>
      <c r="G662" s="68"/>
      <c r="H662" s="68"/>
      <c r="I662" s="68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9"/>
      <c r="B663" s="67"/>
      <c r="C663" s="68"/>
      <c r="D663" s="68"/>
      <c r="E663" s="68"/>
      <c r="F663" s="68"/>
      <c r="G663" s="68"/>
      <c r="H663" s="68"/>
      <c r="I663" s="68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9"/>
      <c r="B664" s="67"/>
      <c r="C664" s="68"/>
      <c r="D664" s="68"/>
      <c r="E664" s="68"/>
      <c r="F664" s="68"/>
      <c r="G664" s="68"/>
      <c r="H664" s="68"/>
      <c r="I664" s="68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9"/>
      <c r="B665" s="67"/>
      <c r="C665" s="68"/>
      <c r="D665" s="68"/>
      <c r="E665" s="68"/>
      <c r="F665" s="68"/>
      <c r="G665" s="68"/>
      <c r="H665" s="68"/>
      <c r="I665" s="68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9"/>
      <c r="B666" s="67"/>
      <c r="C666" s="68"/>
      <c r="D666" s="68"/>
      <c r="E666" s="68"/>
      <c r="F666" s="68"/>
      <c r="G666" s="68"/>
      <c r="H666" s="68"/>
      <c r="I666" s="68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9"/>
      <c r="B667" s="67"/>
      <c r="C667" s="68"/>
      <c r="D667" s="68"/>
      <c r="E667" s="68"/>
      <c r="F667" s="68"/>
      <c r="G667" s="68"/>
      <c r="H667" s="68"/>
      <c r="I667" s="68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9"/>
      <c r="B668" s="67"/>
      <c r="C668" s="68"/>
      <c r="D668" s="68"/>
      <c r="E668" s="68"/>
      <c r="F668" s="68"/>
      <c r="G668" s="68"/>
      <c r="H668" s="68"/>
      <c r="I668" s="68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9"/>
      <c r="B669" s="67"/>
      <c r="C669" s="68"/>
      <c r="D669" s="68"/>
      <c r="E669" s="68"/>
      <c r="F669" s="68"/>
      <c r="G669" s="68"/>
      <c r="H669" s="68"/>
      <c r="I669" s="68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9"/>
      <c r="B670" s="67"/>
      <c r="C670" s="68"/>
      <c r="D670" s="68"/>
      <c r="E670" s="68"/>
      <c r="F670" s="68"/>
      <c r="G670" s="68"/>
      <c r="H670" s="68"/>
      <c r="I670" s="68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9"/>
      <c r="B671" s="67"/>
      <c r="C671" s="68"/>
      <c r="D671" s="68"/>
      <c r="E671" s="68"/>
      <c r="F671" s="68"/>
      <c r="G671" s="68"/>
      <c r="H671" s="68"/>
      <c r="I671" s="68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9"/>
      <c r="B672" s="67"/>
      <c r="C672" s="68"/>
      <c r="D672" s="68"/>
      <c r="E672" s="68"/>
      <c r="F672" s="68"/>
      <c r="G672" s="68"/>
      <c r="H672" s="68"/>
      <c r="I672" s="68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9"/>
      <c r="B673" s="67"/>
      <c r="C673" s="68"/>
      <c r="D673" s="68"/>
      <c r="E673" s="68"/>
      <c r="F673" s="68"/>
      <c r="G673" s="68"/>
      <c r="H673" s="68"/>
      <c r="I673" s="68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9"/>
      <c r="B674" s="67"/>
      <c r="C674" s="68"/>
      <c r="D674" s="68"/>
      <c r="E674" s="68"/>
      <c r="F674" s="68"/>
      <c r="G674" s="68"/>
      <c r="H674" s="68"/>
      <c r="I674" s="68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9"/>
      <c r="B675" s="67"/>
      <c r="C675" s="68"/>
      <c r="D675" s="68"/>
      <c r="E675" s="68"/>
      <c r="F675" s="68"/>
      <c r="G675" s="68"/>
      <c r="H675" s="68"/>
      <c r="I675" s="68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9"/>
      <c r="B676" s="67"/>
      <c r="C676" s="68"/>
      <c r="D676" s="68"/>
      <c r="E676" s="68"/>
      <c r="F676" s="68"/>
      <c r="G676" s="68"/>
      <c r="H676" s="68"/>
      <c r="I676" s="68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9"/>
      <c r="B677" s="67"/>
      <c r="C677" s="68"/>
      <c r="D677" s="68"/>
      <c r="E677" s="68"/>
      <c r="F677" s="68"/>
      <c r="G677" s="68"/>
      <c r="H677" s="68"/>
      <c r="I677" s="68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9"/>
      <c r="B678" s="67"/>
      <c r="C678" s="68"/>
      <c r="D678" s="68"/>
      <c r="E678" s="68"/>
      <c r="F678" s="68"/>
      <c r="G678" s="68"/>
      <c r="H678" s="68"/>
      <c r="I678" s="68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9"/>
      <c r="B679" s="67"/>
      <c r="C679" s="68"/>
      <c r="D679" s="68"/>
      <c r="E679" s="68"/>
      <c r="F679" s="68"/>
      <c r="G679" s="68"/>
      <c r="H679" s="68"/>
      <c r="I679" s="68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9"/>
      <c r="B680" s="67"/>
      <c r="C680" s="68"/>
      <c r="D680" s="68"/>
      <c r="E680" s="68"/>
      <c r="F680" s="68"/>
      <c r="G680" s="68"/>
      <c r="H680" s="68"/>
      <c r="I680" s="68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9"/>
      <c r="B681" s="67"/>
      <c r="C681" s="68"/>
      <c r="D681" s="68"/>
      <c r="E681" s="68"/>
      <c r="F681" s="68"/>
      <c r="G681" s="68"/>
      <c r="H681" s="68"/>
      <c r="I681" s="68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9"/>
      <c r="B682" s="67"/>
      <c r="C682" s="68"/>
      <c r="D682" s="68"/>
      <c r="E682" s="68"/>
      <c r="F682" s="68"/>
      <c r="G682" s="68"/>
      <c r="H682" s="68"/>
      <c r="I682" s="68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9"/>
      <c r="B683" s="67"/>
      <c r="C683" s="68"/>
      <c r="D683" s="68"/>
      <c r="E683" s="68"/>
      <c r="F683" s="68"/>
      <c r="G683" s="68"/>
      <c r="H683" s="68"/>
      <c r="I683" s="68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9"/>
      <c r="B684" s="67"/>
      <c r="C684" s="68"/>
      <c r="D684" s="68"/>
      <c r="E684" s="68"/>
      <c r="F684" s="68"/>
      <c r="G684" s="68"/>
      <c r="H684" s="68"/>
      <c r="I684" s="68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9"/>
      <c r="B685" s="67"/>
      <c r="C685" s="68"/>
      <c r="D685" s="68"/>
      <c r="E685" s="68"/>
      <c r="F685" s="68"/>
      <c r="G685" s="68"/>
      <c r="H685" s="68"/>
      <c r="I685" s="68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9"/>
      <c r="B686" s="67"/>
      <c r="C686" s="68"/>
      <c r="D686" s="68"/>
      <c r="E686" s="68"/>
      <c r="F686" s="68"/>
      <c r="G686" s="68"/>
      <c r="H686" s="68"/>
      <c r="I686" s="68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9"/>
      <c r="B687" s="67"/>
      <c r="C687" s="68"/>
      <c r="D687" s="68"/>
      <c r="E687" s="68"/>
      <c r="F687" s="68"/>
      <c r="G687" s="68"/>
      <c r="H687" s="68"/>
      <c r="I687" s="68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9"/>
      <c r="B688" s="67"/>
      <c r="C688" s="68"/>
      <c r="D688" s="68"/>
      <c r="E688" s="68"/>
      <c r="F688" s="68"/>
      <c r="G688" s="68"/>
      <c r="H688" s="68"/>
      <c r="I688" s="68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9"/>
      <c r="B689" s="67"/>
      <c r="C689" s="68"/>
      <c r="D689" s="68"/>
      <c r="E689" s="68"/>
      <c r="F689" s="68"/>
      <c r="G689" s="68"/>
      <c r="H689" s="68"/>
      <c r="I689" s="68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9"/>
      <c r="B690" s="67"/>
      <c r="C690" s="68"/>
      <c r="D690" s="68"/>
      <c r="E690" s="68"/>
      <c r="F690" s="68"/>
      <c r="G690" s="68"/>
      <c r="H690" s="68"/>
      <c r="I690" s="68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9"/>
      <c r="B691" s="67"/>
      <c r="C691" s="68"/>
      <c r="D691" s="68"/>
      <c r="E691" s="68"/>
      <c r="F691" s="68"/>
      <c r="G691" s="68"/>
      <c r="H691" s="68"/>
      <c r="I691" s="68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9"/>
      <c r="B692" s="67"/>
      <c r="C692" s="68"/>
      <c r="D692" s="68"/>
      <c r="E692" s="68"/>
      <c r="F692" s="68"/>
      <c r="G692" s="68"/>
      <c r="H692" s="68"/>
      <c r="I692" s="68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9"/>
      <c r="B693" s="67"/>
      <c r="C693" s="68"/>
      <c r="D693" s="68"/>
      <c r="E693" s="68"/>
      <c r="F693" s="68"/>
      <c r="G693" s="68"/>
      <c r="H693" s="68"/>
      <c r="I693" s="68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9"/>
      <c r="B694" s="67"/>
      <c r="C694" s="68"/>
      <c r="D694" s="68"/>
      <c r="E694" s="68"/>
      <c r="F694" s="68"/>
      <c r="G694" s="68"/>
      <c r="H694" s="68"/>
      <c r="I694" s="68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9"/>
      <c r="B695" s="67"/>
      <c r="C695" s="68"/>
      <c r="D695" s="68"/>
      <c r="E695" s="68"/>
      <c r="F695" s="68"/>
      <c r="G695" s="68"/>
      <c r="H695" s="68"/>
      <c r="I695" s="68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9"/>
      <c r="B696" s="67"/>
      <c r="C696" s="68"/>
      <c r="D696" s="68"/>
      <c r="E696" s="68"/>
      <c r="F696" s="68"/>
      <c r="G696" s="68"/>
      <c r="H696" s="68"/>
      <c r="I696" s="68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9"/>
      <c r="B697" s="67"/>
      <c r="C697" s="68"/>
      <c r="D697" s="68"/>
      <c r="E697" s="68"/>
      <c r="F697" s="68"/>
      <c r="G697" s="68"/>
      <c r="H697" s="68"/>
      <c r="I697" s="68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9"/>
      <c r="B698" s="67"/>
      <c r="C698" s="68"/>
      <c r="D698" s="68"/>
      <c r="E698" s="68"/>
      <c r="F698" s="68"/>
      <c r="G698" s="68"/>
      <c r="H698" s="68"/>
      <c r="I698" s="68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9"/>
      <c r="B699" s="67"/>
      <c r="C699" s="68"/>
      <c r="D699" s="68"/>
      <c r="E699" s="68"/>
      <c r="F699" s="68"/>
      <c r="G699" s="68"/>
      <c r="H699" s="68"/>
      <c r="I699" s="68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9"/>
      <c r="B700" s="67"/>
      <c r="C700" s="68"/>
      <c r="D700" s="68"/>
      <c r="E700" s="68"/>
      <c r="F700" s="68"/>
      <c r="G700" s="68"/>
      <c r="H700" s="68"/>
      <c r="I700" s="68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9"/>
      <c r="B701" s="67"/>
      <c r="C701" s="68"/>
      <c r="D701" s="68"/>
      <c r="E701" s="68"/>
      <c r="F701" s="68"/>
      <c r="G701" s="68"/>
      <c r="H701" s="68"/>
      <c r="I701" s="68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9"/>
      <c r="B702" s="67"/>
      <c r="C702" s="68"/>
      <c r="D702" s="68"/>
      <c r="E702" s="68"/>
      <c r="F702" s="68"/>
      <c r="G702" s="68"/>
      <c r="H702" s="68"/>
      <c r="I702" s="68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9"/>
      <c r="B703" s="67"/>
      <c r="C703" s="68"/>
      <c r="D703" s="68"/>
      <c r="E703" s="68"/>
      <c r="F703" s="68"/>
      <c r="G703" s="68"/>
      <c r="H703" s="68"/>
      <c r="I703" s="68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9"/>
      <c r="B704" s="67"/>
      <c r="C704" s="68"/>
      <c r="D704" s="68"/>
      <c r="E704" s="68"/>
      <c r="F704" s="68"/>
      <c r="G704" s="68"/>
      <c r="H704" s="68"/>
      <c r="I704" s="68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9"/>
      <c r="B705" s="67"/>
      <c r="C705" s="68"/>
      <c r="D705" s="68"/>
      <c r="E705" s="68"/>
      <c r="F705" s="68"/>
      <c r="G705" s="68"/>
      <c r="H705" s="68"/>
      <c r="I705" s="68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9"/>
      <c r="B706" s="67"/>
      <c r="C706" s="68"/>
      <c r="D706" s="68"/>
      <c r="E706" s="68"/>
      <c r="F706" s="68"/>
      <c r="G706" s="68"/>
      <c r="H706" s="68"/>
      <c r="I706" s="68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9"/>
      <c r="B707" s="67"/>
      <c r="C707" s="68"/>
      <c r="D707" s="68"/>
      <c r="E707" s="68"/>
      <c r="F707" s="68"/>
      <c r="G707" s="68"/>
      <c r="H707" s="68"/>
      <c r="I707" s="68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9"/>
      <c r="B708" s="67"/>
      <c r="C708" s="68"/>
      <c r="D708" s="68"/>
      <c r="E708" s="68"/>
      <c r="F708" s="68"/>
      <c r="G708" s="68"/>
      <c r="H708" s="68"/>
      <c r="I708" s="68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9"/>
      <c r="B709" s="67"/>
      <c r="C709" s="68"/>
      <c r="D709" s="68"/>
      <c r="E709" s="68"/>
      <c r="F709" s="68"/>
      <c r="G709" s="68"/>
      <c r="H709" s="68"/>
      <c r="I709" s="68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9"/>
      <c r="B710" s="67"/>
      <c r="C710" s="68"/>
      <c r="D710" s="68"/>
      <c r="E710" s="68"/>
      <c r="F710" s="68"/>
      <c r="G710" s="68"/>
      <c r="H710" s="68"/>
      <c r="I710" s="68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9"/>
      <c r="B711" s="67"/>
      <c r="C711" s="68"/>
      <c r="D711" s="68"/>
      <c r="E711" s="68"/>
      <c r="F711" s="68"/>
      <c r="G711" s="68"/>
      <c r="H711" s="68"/>
      <c r="I711" s="68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9"/>
      <c r="B712" s="67"/>
      <c r="C712" s="68"/>
      <c r="D712" s="68"/>
      <c r="E712" s="68"/>
      <c r="F712" s="68"/>
      <c r="G712" s="68"/>
      <c r="H712" s="68"/>
      <c r="I712" s="68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9"/>
      <c r="B713" s="67"/>
      <c r="C713" s="68"/>
      <c r="D713" s="68"/>
      <c r="E713" s="68"/>
      <c r="F713" s="68"/>
      <c r="G713" s="68"/>
      <c r="H713" s="68"/>
      <c r="I713" s="68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9"/>
      <c r="B714" s="67"/>
      <c r="C714" s="68"/>
      <c r="D714" s="68"/>
      <c r="E714" s="68"/>
      <c r="F714" s="68"/>
      <c r="G714" s="68"/>
      <c r="H714" s="68"/>
      <c r="I714" s="68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9"/>
      <c r="B715" s="67"/>
      <c r="C715" s="68"/>
      <c r="D715" s="68"/>
      <c r="E715" s="68"/>
      <c r="F715" s="68"/>
      <c r="G715" s="68"/>
      <c r="H715" s="68"/>
      <c r="I715" s="68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9"/>
      <c r="B716" s="67"/>
      <c r="C716" s="68"/>
      <c r="D716" s="68"/>
      <c r="E716" s="68"/>
      <c r="F716" s="68"/>
      <c r="G716" s="68"/>
      <c r="H716" s="68"/>
      <c r="I716" s="68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9"/>
      <c r="B717" s="67"/>
      <c r="C717" s="68"/>
      <c r="D717" s="68"/>
      <c r="E717" s="68"/>
      <c r="F717" s="68"/>
      <c r="G717" s="68"/>
      <c r="H717" s="68"/>
      <c r="I717" s="68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9"/>
      <c r="B718" s="67"/>
      <c r="C718" s="68"/>
      <c r="D718" s="68"/>
      <c r="E718" s="68"/>
      <c r="F718" s="68"/>
      <c r="G718" s="68"/>
      <c r="H718" s="68"/>
      <c r="I718" s="68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9"/>
      <c r="B719" s="67"/>
      <c r="C719" s="68"/>
      <c r="D719" s="68"/>
      <c r="E719" s="68"/>
      <c r="F719" s="68"/>
      <c r="G719" s="68"/>
      <c r="H719" s="68"/>
      <c r="I719" s="68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9"/>
      <c r="B720" s="67"/>
      <c r="C720" s="68"/>
      <c r="D720" s="68"/>
      <c r="E720" s="68"/>
      <c r="F720" s="68"/>
      <c r="G720" s="68"/>
      <c r="H720" s="68"/>
      <c r="I720" s="68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9"/>
      <c r="B721" s="67"/>
      <c r="C721" s="68"/>
      <c r="D721" s="68"/>
      <c r="E721" s="68"/>
      <c r="F721" s="68"/>
      <c r="G721" s="68"/>
      <c r="H721" s="68"/>
      <c r="I721" s="68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9"/>
      <c r="B722" s="67"/>
      <c r="C722" s="68"/>
      <c r="D722" s="68"/>
      <c r="E722" s="68"/>
      <c r="F722" s="68"/>
      <c r="G722" s="68"/>
      <c r="H722" s="68"/>
      <c r="I722" s="68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9"/>
      <c r="B723" s="67"/>
      <c r="C723" s="68"/>
      <c r="D723" s="68"/>
      <c r="E723" s="68"/>
      <c r="F723" s="68"/>
      <c r="G723" s="68"/>
      <c r="H723" s="68"/>
      <c r="I723" s="68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9"/>
      <c r="B724" s="67"/>
      <c r="C724" s="68"/>
      <c r="D724" s="68"/>
      <c r="E724" s="68"/>
      <c r="F724" s="68"/>
      <c r="G724" s="68"/>
      <c r="H724" s="68"/>
      <c r="I724" s="68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9"/>
      <c r="B725" s="67"/>
      <c r="C725" s="68"/>
      <c r="D725" s="68"/>
      <c r="E725" s="68"/>
      <c r="F725" s="68"/>
      <c r="G725" s="68"/>
      <c r="H725" s="68"/>
      <c r="I725" s="68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9"/>
      <c r="B726" s="67"/>
      <c r="C726" s="68"/>
      <c r="D726" s="68"/>
      <c r="E726" s="68"/>
      <c r="F726" s="68"/>
      <c r="G726" s="68"/>
      <c r="H726" s="68"/>
      <c r="I726" s="68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9"/>
      <c r="B727" s="67"/>
      <c r="C727" s="68"/>
      <c r="D727" s="68"/>
      <c r="E727" s="68"/>
      <c r="F727" s="68"/>
      <c r="G727" s="68"/>
      <c r="H727" s="68"/>
      <c r="I727" s="68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9"/>
      <c r="B728" s="67"/>
      <c r="C728" s="68"/>
      <c r="D728" s="68"/>
      <c r="E728" s="68"/>
      <c r="F728" s="68"/>
      <c r="G728" s="68"/>
      <c r="H728" s="68"/>
      <c r="I728" s="68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9"/>
      <c r="B729" s="67"/>
      <c r="C729" s="68"/>
      <c r="D729" s="68"/>
      <c r="E729" s="68"/>
      <c r="F729" s="68"/>
      <c r="G729" s="68"/>
      <c r="H729" s="68"/>
      <c r="I729" s="68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9"/>
      <c r="B730" s="67"/>
      <c r="C730" s="68"/>
      <c r="D730" s="68"/>
      <c r="E730" s="68"/>
      <c r="F730" s="68"/>
      <c r="G730" s="68"/>
      <c r="H730" s="68"/>
      <c r="I730" s="68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9"/>
      <c r="B731" s="67"/>
      <c r="C731" s="68"/>
      <c r="D731" s="68"/>
      <c r="E731" s="68"/>
      <c r="F731" s="68"/>
      <c r="G731" s="68"/>
      <c r="H731" s="68"/>
      <c r="I731" s="68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9"/>
      <c r="B732" s="67"/>
      <c r="C732" s="68"/>
      <c r="D732" s="68"/>
      <c r="E732" s="68"/>
      <c r="F732" s="68"/>
      <c r="G732" s="68"/>
      <c r="H732" s="68"/>
      <c r="I732" s="68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9"/>
      <c r="B733" s="67"/>
      <c r="C733" s="68"/>
      <c r="D733" s="68"/>
      <c r="E733" s="68"/>
      <c r="F733" s="68"/>
      <c r="G733" s="68"/>
      <c r="H733" s="68"/>
      <c r="I733" s="68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9"/>
      <c r="B734" s="67"/>
      <c r="C734" s="68"/>
      <c r="D734" s="68"/>
      <c r="E734" s="68"/>
      <c r="F734" s="68"/>
      <c r="G734" s="68"/>
      <c r="H734" s="68"/>
      <c r="I734" s="68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9"/>
      <c r="B735" s="67"/>
      <c r="C735" s="68"/>
      <c r="D735" s="68"/>
      <c r="E735" s="68"/>
      <c r="F735" s="68"/>
      <c r="G735" s="68"/>
      <c r="H735" s="68"/>
      <c r="I735" s="68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9"/>
      <c r="B736" s="67"/>
      <c r="C736" s="68"/>
      <c r="D736" s="68"/>
      <c r="E736" s="68"/>
      <c r="F736" s="68"/>
      <c r="G736" s="68"/>
      <c r="H736" s="68"/>
      <c r="I736" s="68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9"/>
      <c r="B737" s="67"/>
      <c r="C737" s="68"/>
      <c r="D737" s="68"/>
      <c r="E737" s="68"/>
      <c r="F737" s="68"/>
      <c r="G737" s="68"/>
      <c r="H737" s="68"/>
      <c r="I737" s="68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9"/>
      <c r="B738" s="67"/>
      <c r="C738" s="68"/>
      <c r="D738" s="68"/>
      <c r="E738" s="68"/>
      <c r="F738" s="68"/>
      <c r="G738" s="68"/>
      <c r="H738" s="68"/>
      <c r="I738" s="68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9"/>
      <c r="B739" s="67"/>
      <c r="C739" s="68"/>
      <c r="D739" s="68"/>
      <c r="E739" s="68"/>
      <c r="F739" s="68"/>
      <c r="G739" s="68"/>
      <c r="H739" s="68"/>
      <c r="I739" s="68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9"/>
      <c r="B740" s="67"/>
      <c r="C740" s="68"/>
      <c r="D740" s="68"/>
      <c r="E740" s="68"/>
      <c r="F740" s="68"/>
      <c r="G740" s="68"/>
      <c r="H740" s="68"/>
      <c r="I740" s="68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9"/>
      <c r="B741" s="67"/>
      <c r="C741" s="68"/>
      <c r="D741" s="68"/>
      <c r="E741" s="68"/>
      <c r="F741" s="68"/>
      <c r="G741" s="68"/>
      <c r="H741" s="68"/>
      <c r="I741" s="68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9"/>
      <c r="B742" s="67"/>
      <c r="C742" s="68"/>
      <c r="D742" s="68"/>
      <c r="E742" s="68"/>
      <c r="F742" s="68"/>
      <c r="G742" s="68"/>
      <c r="H742" s="68"/>
      <c r="I742" s="68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9"/>
      <c r="B743" s="67"/>
      <c r="C743" s="68"/>
      <c r="D743" s="68"/>
      <c r="E743" s="68"/>
      <c r="F743" s="68"/>
      <c r="G743" s="68"/>
      <c r="H743" s="68"/>
      <c r="I743" s="68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9"/>
      <c r="B744" s="67"/>
      <c r="C744" s="68"/>
      <c r="D744" s="68"/>
      <c r="E744" s="68"/>
      <c r="F744" s="68"/>
      <c r="G744" s="68"/>
      <c r="H744" s="68"/>
      <c r="I744" s="68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9"/>
      <c r="B745" s="67"/>
      <c r="C745" s="68"/>
      <c r="D745" s="68"/>
      <c r="E745" s="68"/>
      <c r="F745" s="68"/>
      <c r="G745" s="68"/>
      <c r="H745" s="68"/>
      <c r="I745" s="68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9"/>
      <c r="B746" s="67"/>
      <c r="C746" s="68"/>
      <c r="D746" s="68"/>
      <c r="E746" s="68"/>
      <c r="F746" s="68"/>
      <c r="G746" s="68"/>
      <c r="H746" s="68"/>
      <c r="I746" s="68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9"/>
      <c r="B747" s="67"/>
      <c r="C747" s="68"/>
      <c r="D747" s="68"/>
      <c r="E747" s="68"/>
      <c r="F747" s="68"/>
      <c r="G747" s="68"/>
      <c r="H747" s="68"/>
      <c r="I747" s="68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9"/>
      <c r="B748" s="67"/>
      <c r="C748" s="68"/>
      <c r="D748" s="68"/>
      <c r="E748" s="68"/>
      <c r="F748" s="68"/>
      <c r="G748" s="68"/>
      <c r="H748" s="68"/>
      <c r="I748" s="68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9"/>
      <c r="B749" s="67"/>
      <c r="C749" s="68"/>
      <c r="D749" s="68"/>
      <c r="E749" s="68"/>
      <c r="F749" s="68"/>
      <c r="G749" s="68"/>
      <c r="H749" s="68"/>
      <c r="I749" s="68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9"/>
      <c r="B750" s="67"/>
      <c r="C750" s="68"/>
      <c r="D750" s="68"/>
      <c r="E750" s="68"/>
      <c r="F750" s="68"/>
      <c r="G750" s="68"/>
      <c r="H750" s="68"/>
      <c r="I750" s="68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9"/>
      <c r="B751" s="67"/>
      <c r="C751" s="68"/>
      <c r="D751" s="68"/>
      <c r="E751" s="68"/>
      <c r="F751" s="68"/>
      <c r="G751" s="68"/>
      <c r="H751" s="68"/>
      <c r="I751" s="68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9"/>
      <c r="B752" s="67"/>
      <c r="C752" s="68"/>
      <c r="D752" s="68"/>
      <c r="E752" s="68"/>
      <c r="F752" s="68"/>
      <c r="G752" s="68"/>
      <c r="H752" s="68"/>
      <c r="I752" s="68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9"/>
      <c r="B753" s="67"/>
      <c r="C753" s="68"/>
      <c r="D753" s="68"/>
      <c r="E753" s="68"/>
      <c r="F753" s="68"/>
      <c r="G753" s="68"/>
      <c r="H753" s="68"/>
      <c r="I753" s="68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9"/>
      <c r="B754" s="67"/>
      <c r="C754" s="68"/>
      <c r="D754" s="68"/>
      <c r="E754" s="68"/>
      <c r="F754" s="68"/>
      <c r="G754" s="68"/>
      <c r="H754" s="68"/>
      <c r="I754" s="68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9"/>
      <c r="B755" s="67"/>
      <c r="C755" s="68"/>
      <c r="D755" s="68"/>
      <c r="E755" s="68"/>
      <c r="F755" s="68"/>
      <c r="G755" s="68"/>
      <c r="H755" s="68"/>
      <c r="I755" s="68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9"/>
      <c r="B756" s="67"/>
      <c r="C756" s="68"/>
      <c r="D756" s="68"/>
      <c r="E756" s="68"/>
      <c r="F756" s="68"/>
      <c r="G756" s="68"/>
      <c r="H756" s="68"/>
      <c r="I756" s="68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9"/>
      <c r="B757" s="67"/>
      <c r="C757" s="68"/>
      <c r="D757" s="68"/>
      <c r="E757" s="68"/>
      <c r="F757" s="68"/>
      <c r="G757" s="68"/>
      <c r="H757" s="68"/>
      <c r="I757" s="68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9"/>
      <c r="B758" s="67"/>
      <c r="C758" s="68"/>
      <c r="D758" s="68"/>
      <c r="E758" s="68"/>
      <c r="F758" s="68"/>
      <c r="G758" s="68"/>
      <c r="H758" s="68"/>
      <c r="I758" s="68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9"/>
      <c r="B759" s="67"/>
      <c r="C759" s="68"/>
      <c r="D759" s="68"/>
      <c r="E759" s="68"/>
      <c r="F759" s="68"/>
      <c r="G759" s="68"/>
      <c r="H759" s="68"/>
      <c r="I759" s="68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9"/>
      <c r="B760" s="67"/>
      <c r="C760" s="68"/>
      <c r="D760" s="68"/>
      <c r="E760" s="68"/>
      <c r="F760" s="68"/>
      <c r="G760" s="68"/>
      <c r="H760" s="68"/>
      <c r="I760" s="68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9"/>
      <c r="B761" s="67"/>
      <c r="C761" s="68"/>
      <c r="D761" s="68"/>
      <c r="E761" s="68"/>
      <c r="F761" s="68"/>
      <c r="G761" s="68"/>
      <c r="H761" s="68"/>
      <c r="I761" s="68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9"/>
      <c r="B762" s="67"/>
      <c r="C762" s="68"/>
      <c r="D762" s="68"/>
      <c r="E762" s="68"/>
      <c r="F762" s="68"/>
      <c r="G762" s="68"/>
      <c r="H762" s="68"/>
      <c r="I762" s="68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9"/>
      <c r="B763" s="67"/>
      <c r="C763" s="68"/>
      <c r="D763" s="68"/>
      <c r="E763" s="68"/>
      <c r="F763" s="68"/>
      <c r="G763" s="68"/>
      <c r="H763" s="68"/>
      <c r="I763" s="68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9"/>
      <c r="B764" s="67"/>
      <c r="C764" s="68"/>
      <c r="D764" s="68"/>
      <c r="E764" s="68"/>
      <c r="F764" s="68"/>
      <c r="G764" s="68"/>
      <c r="H764" s="68"/>
      <c r="I764" s="68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9"/>
      <c r="B765" s="67"/>
      <c r="C765" s="68"/>
      <c r="D765" s="68"/>
      <c r="E765" s="68"/>
      <c r="F765" s="68"/>
      <c r="G765" s="68"/>
      <c r="H765" s="68"/>
      <c r="I765" s="68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9"/>
      <c r="B766" s="67"/>
      <c r="C766" s="68"/>
      <c r="D766" s="68"/>
      <c r="E766" s="68"/>
      <c r="F766" s="68"/>
      <c r="G766" s="68"/>
      <c r="H766" s="68"/>
      <c r="I766" s="68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9"/>
      <c r="B767" s="67"/>
      <c r="C767" s="68"/>
      <c r="D767" s="68"/>
      <c r="E767" s="68"/>
      <c r="F767" s="68"/>
      <c r="G767" s="68"/>
      <c r="H767" s="68"/>
      <c r="I767" s="68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9"/>
      <c r="B768" s="67"/>
      <c r="C768" s="68"/>
      <c r="D768" s="68"/>
      <c r="E768" s="68"/>
      <c r="F768" s="68"/>
      <c r="G768" s="68"/>
      <c r="H768" s="68"/>
      <c r="I768" s="68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9"/>
      <c r="B769" s="67"/>
      <c r="C769" s="68"/>
      <c r="D769" s="68"/>
      <c r="E769" s="68"/>
      <c r="F769" s="68"/>
      <c r="G769" s="68"/>
      <c r="H769" s="68"/>
      <c r="I769" s="68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9"/>
      <c r="B770" s="67"/>
      <c r="C770" s="68"/>
      <c r="D770" s="68"/>
      <c r="E770" s="68"/>
      <c r="F770" s="68"/>
      <c r="G770" s="68"/>
      <c r="H770" s="68"/>
      <c r="I770" s="68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9"/>
      <c r="B771" s="67"/>
      <c r="C771" s="68"/>
      <c r="D771" s="68"/>
      <c r="E771" s="68"/>
      <c r="F771" s="68"/>
      <c r="G771" s="68"/>
      <c r="H771" s="68"/>
      <c r="I771" s="68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9"/>
      <c r="B772" s="67"/>
      <c r="C772" s="68"/>
      <c r="D772" s="68"/>
      <c r="E772" s="68"/>
      <c r="F772" s="68"/>
      <c r="G772" s="68"/>
      <c r="H772" s="68"/>
      <c r="I772" s="68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9"/>
      <c r="B773" s="67"/>
      <c r="C773" s="68"/>
      <c r="D773" s="68"/>
      <c r="E773" s="68"/>
      <c r="F773" s="68"/>
      <c r="G773" s="68"/>
      <c r="H773" s="68"/>
      <c r="I773" s="68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9"/>
      <c r="B774" s="67"/>
      <c r="C774" s="68"/>
      <c r="D774" s="68"/>
      <c r="E774" s="68"/>
      <c r="F774" s="68"/>
      <c r="G774" s="68"/>
      <c r="H774" s="68"/>
      <c r="I774" s="68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9"/>
      <c r="B775" s="67"/>
      <c r="C775" s="68"/>
      <c r="D775" s="68"/>
      <c r="E775" s="68"/>
      <c r="F775" s="68"/>
      <c r="G775" s="68"/>
      <c r="H775" s="68"/>
      <c r="I775" s="68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9"/>
      <c r="B776" s="67"/>
      <c r="C776" s="68"/>
      <c r="D776" s="68"/>
      <c r="E776" s="68"/>
      <c r="F776" s="68"/>
      <c r="G776" s="68"/>
      <c r="H776" s="68"/>
      <c r="I776" s="68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9"/>
      <c r="B777" s="67"/>
      <c r="C777" s="68"/>
      <c r="D777" s="68"/>
      <c r="E777" s="68"/>
      <c r="F777" s="68"/>
      <c r="G777" s="68"/>
      <c r="H777" s="68"/>
      <c r="I777" s="68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9"/>
      <c r="B778" s="67"/>
      <c r="C778" s="68"/>
      <c r="D778" s="68"/>
      <c r="E778" s="68"/>
      <c r="F778" s="68"/>
      <c r="G778" s="68"/>
      <c r="H778" s="68"/>
      <c r="I778" s="68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9"/>
      <c r="B779" s="67"/>
      <c r="C779" s="68"/>
      <c r="D779" s="68"/>
      <c r="E779" s="68"/>
      <c r="F779" s="68"/>
      <c r="G779" s="68"/>
      <c r="H779" s="68"/>
      <c r="I779" s="68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9"/>
      <c r="B780" s="67"/>
      <c r="C780" s="68"/>
      <c r="D780" s="68"/>
      <c r="E780" s="68"/>
      <c r="F780" s="68"/>
      <c r="G780" s="68"/>
      <c r="H780" s="68"/>
      <c r="I780" s="68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9"/>
      <c r="B781" s="67"/>
      <c r="C781" s="68"/>
      <c r="D781" s="68"/>
      <c r="E781" s="68"/>
      <c r="F781" s="68"/>
      <c r="G781" s="68"/>
      <c r="H781" s="68"/>
      <c r="I781" s="68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9"/>
      <c r="B782" s="67"/>
      <c r="C782" s="68"/>
      <c r="D782" s="68"/>
      <c r="E782" s="68"/>
      <c r="F782" s="68"/>
      <c r="G782" s="68"/>
      <c r="H782" s="68"/>
      <c r="I782" s="68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9"/>
      <c r="B783" s="67"/>
      <c r="C783" s="68"/>
      <c r="D783" s="68"/>
      <c r="E783" s="68"/>
      <c r="F783" s="68"/>
      <c r="G783" s="68"/>
      <c r="H783" s="68"/>
      <c r="I783" s="68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9"/>
      <c r="B784" s="67"/>
      <c r="C784" s="68"/>
      <c r="D784" s="68"/>
      <c r="E784" s="68"/>
      <c r="F784" s="68"/>
      <c r="G784" s="68"/>
      <c r="H784" s="68"/>
      <c r="I784" s="68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9"/>
      <c r="B785" s="67"/>
      <c r="C785" s="68"/>
      <c r="D785" s="68"/>
      <c r="E785" s="68"/>
      <c r="F785" s="68"/>
      <c r="G785" s="68"/>
      <c r="H785" s="68"/>
      <c r="I785" s="68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9"/>
      <c r="B786" s="67"/>
      <c r="C786" s="68"/>
      <c r="D786" s="68"/>
      <c r="E786" s="68"/>
      <c r="F786" s="68"/>
      <c r="G786" s="68"/>
      <c r="H786" s="68"/>
      <c r="I786" s="68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9"/>
      <c r="B787" s="67"/>
      <c r="C787" s="68"/>
      <c r="D787" s="68"/>
      <c r="E787" s="68"/>
      <c r="F787" s="68"/>
      <c r="G787" s="68"/>
      <c r="H787" s="68"/>
      <c r="I787" s="68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9"/>
      <c r="B788" s="67"/>
      <c r="C788" s="68"/>
      <c r="D788" s="68"/>
      <c r="E788" s="68"/>
      <c r="F788" s="68"/>
      <c r="G788" s="68"/>
      <c r="H788" s="68"/>
      <c r="I788" s="68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9"/>
      <c r="B789" s="67"/>
      <c r="C789" s="68"/>
      <c r="D789" s="68"/>
      <c r="E789" s="68"/>
      <c r="F789" s="68"/>
      <c r="G789" s="68"/>
      <c r="H789" s="68"/>
      <c r="I789" s="68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9"/>
      <c r="B790" s="67"/>
      <c r="C790" s="68"/>
      <c r="D790" s="68"/>
      <c r="E790" s="68"/>
      <c r="F790" s="68"/>
      <c r="G790" s="68"/>
      <c r="H790" s="68"/>
      <c r="I790" s="68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9"/>
      <c r="B791" s="67"/>
      <c r="C791" s="68"/>
      <c r="D791" s="68"/>
      <c r="E791" s="68"/>
      <c r="F791" s="68"/>
      <c r="G791" s="68"/>
      <c r="H791" s="68"/>
      <c r="I791" s="68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9"/>
      <c r="B792" s="67"/>
      <c r="C792" s="68"/>
      <c r="D792" s="68"/>
      <c r="E792" s="68"/>
      <c r="F792" s="68"/>
      <c r="G792" s="68"/>
      <c r="H792" s="68"/>
      <c r="I792" s="68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9"/>
      <c r="B793" s="67"/>
      <c r="C793" s="68"/>
      <c r="D793" s="68"/>
      <c r="E793" s="68"/>
      <c r="F793" s="68"/>
      <c r="G793" s="68"/>
      <c r="H793" s="68"/>
      <c r="I793" s="68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9"/>
      <c r="B794" s="67"/>
      <c r="C794" s="68"/>
      <c r="D794" s="68"/>
      <c r="E794" s="68"/>
      <c r="F794" s="68"/>
      <c r="G794" s="68"/>
      <c r="H794" s="68"/>
      <c r="I794" s="68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9"/>
      <c r="B795" s="67"/>
      <c r="C795" s="68"/>
      <c r="D795" s="68"/>
      <c r="E795" s="68"/>
      <c r="F795" s="68"/>
      <c r="G795" s="68"/>
      <c r="H795" s="68"/>
      <c r="I795" s="68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9"/>
      <c r="B796" s="67"/>
      <c r="C796" s="68"/>
      <c r="D796" s="68"/>
      <c r="E796" s="68"/>
      <c r="F796" s="68"/>
      <c r="G796" s="68"/>
      <c r="H796" s="68"/>
      <c r="I796" s="68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9"/>
      <c r="B797" s="67"/>
      <c r="C797" s="68"/>
      <c r="D797" s="68"/>
      <c r="E797" s="68"/>
      <c r="F797" s="68"/>
      <c r="G797" s="68"/>
      <c r="H797" s="68"/>
      <c r="I797" s="68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9"/>
      <c r="B798" s="67"/>
      <c r="C798" s="68"/>
      <c r="D798" s="68"/>
      <c r="E798" s="68"/>
      <c r="F798" s="68"/>
      <c r="G798" s="68"/>
      <c r="H798" s="68"/>
      <c r="I798" s="68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9"/>
      <c r="B799" s="67"/>
      <c r="C799" s="68"/>
      <c r="D799" s="68"/>
      <c r="E799" s="68"/>
      <c r="F799" s="68"/>
      <c r="G799" s="68"/>
      <c r="H799" s="68"/>
      <c r="I799" s="68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9"/>
      <c r="B800" s="67"/>
      <c r="C800" s="68"/>
      <c r="D800" s="68"/>
      <c r="E800" s="68"/>
      <c r="F800" s="68"/>
      <c r="G800" s="68"/>
      <c r="H800" s="68"/>
      <c r="I800" s="68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9"/>
      <c r="B801" s="67"/>
      <c r="C801" s="68"/>
      <c r="D801" s="68"/>
      <c r="E801" s="68"/>
      <c r="F801" s="68"/>
      <c r="G801" s="68"/>
      <c r="H801" s="68"/>
      <c r="I801" s="68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9"/>
      <c r="B802" s="67"/>
      <c r="C802" s="68"/>
      <c r="D802" s="68"/>
      <c r="E802" s="68"/>
      <c r="F802" s="68"/>
      <c r="G802" s="68"/>
      <c r="H802" s="68"/>
      <c r="I802" s="68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9"/>
      <c r="B803" s="67"/>
      <c r="C803" s="68"/>
      <c r="D803" s="68"/>
      <c r="E803" s="68"/>
      <c r="F803" s="68"/>
      <c r="G803" s="68"/>
      <c r="H803" s="68"/>
      <c r="I803" s="68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9"/>
      <c r="B804" s="67"/>
      <c r="C804" s="68"/>
      <c r="D804" s="68"/>
      <c r="E804" s="68"/>
      <c r="F804" s="68"/>
      <c r="G804" s="68"/>
      <c r="H804" s="68"/>
      <c r="I804" s="68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9"/>
      <c r="B805" s="67"/>
      <c r="C805" s="68"/>
      <c r="D805" s="68"/>
      <c r="E805" s="68"/>
      <c r="F805" s="68"/>
      <c r="G805" s="68"/>
      <c r="H805" s="68"/>
      <c r="I805" s="68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9"/>
      <c r="B806" s="67"/>
      <c r="C806" s="68"/>
      <c r="D806" s="68"/>
      <c r="E806" s="68"/>
      <c r="F806" s="68"/>
      <c r="G806" s="68"/>
      <c r="H806" s="68"/>
      <c r="I806" s="68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9"/>
      <c r="B807" s="67"/>
      <c r="C807" s="68"/>
      <c r="D807" s="68"/>
      <c r="E807" s="68"/>
      <c r="F807" s="68"/>
      <c r="G807" s="68"/>
      <c r="H807" s="68"/>
      <c r="I807" s="68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9"/>
      <c r="B808" s="67"/>
      <c r="C808" s="68"/>
      <c r="D808" s="68"/>
      <c r="E808" s="68"/>
      <c r="F808" s="68"/>
      <c r="G808" s="68"/>
      <c r="H808" s="68"/>
      <c r="I808" s="68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9"/>
      <c r="B809" s="67"/>
      <c r="C809" s="68"/>
      <c r="D809" s="68"/>
      <c r="E809" s="68"/>
      <c r="F809" s="68"/>
      <c r="G809" s="68"/>
      <c r="H809" s="68"/>
      <c r="I809" s="68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9"/>
      <c r="B810" s="67"/>
      <c r="C810" s="68"/>
      <c r="D810" s="68"/>
      <c r="E810" s="68"/>
      <c r="F810" s="68"/>
      <c r="G810" s="68"/>
      <c r="H810" s="68"/>
      <c r="I810" s="68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9"/>
      <c r="B811" s="67"/>
      <c r="C811" s="68"/>
      <c r="D811" s="68"/>
      <c r="E811" s="68"/>
      <c r="F811" s="68"/>
      <c r="G811" s="68"/>
      <c r="H811" s="68"/>
      <c r="I811" s="68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9"/>
      <c r="B812" s="67"/>
      <c r="C812" s="68"/>
      <c r="D812" s="68"/>
      <c r="E812" s="68"/>
      <c r="F812" s="68"/>
      <c r="G812" s="68"/>
      <c r="H812" s="68"/>
      <c r="I812" s="68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9"/>
      <c r="B813" s="67"/>
      <c r="C813" s="68"/>
      <c r="D813" s="68"/>
      <c r="E813" s="68"/>
      <c r="F813" s="68"/>
      <c r="G813" s="68"/>
      <c r="H813" s="68"/>
      <c r="I813" s="68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9"/>
      <c r="B814" s="67"/>
      <c r="C814" s="68"/>
      <c r="D814" s="68"/>
      <c r="E814" s="68"/>
      <c r="F814" s="68"/>
      <c r="G814" s="68"/>
      <c r="H814" s="68"/>
      <c r="I814" s="68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9"/>
      <c r="B815" s="67"/>
      <c r="C815" s="68"/>
      <c r="D815" s="68"/>
      <c r="E815" s="68"/>
      <c r="F815" s="68"/>
      <c r="G815" s="68"/>
      <c r="H815" s="68"/>
      <c r="I815" s="68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9"/>
      <c r="B816" s="67"/>
      <c r="C816" s="68"/>
      <c r="D816" s="68"/>
      <c r="E816" s="68"/>
      <c r="F816" s="68"/>
      <c r="G816" s="68"/>
      <c r="H816" s="68"/>
      <c r="I816" s="68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9"/>
      <c r="B817" s="67"/>
      <c r="C817" s="68"/>
      <c r="D817" s="68"/>
      <c r="E817" s="68"/>
      <c r="F817" s="68"/>
      <c r="G817" s="68"/>
      <c r="H817" s="68"/>
      <c r="I817" s="68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9"/>
      <c r="B818" s="67"/>
      <c r="C818" s="68"/>
      <c r="D818" s="68"/>
      <c r="E818" s="68"/>
      <c r="F818" s="68"/>
      <c r="G818" s="68"/>
      <c r="H818" s="68"/>
      <c r="I818" s="68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9"/>
      <c r="B819" s="67"/>
      <c r="C819" s="68"/>
      <c r="D819" s="68"/>
      <c r="E819" s="68"/>
      <c r="F819" s="68"/>
      <c r="G819" s="68"/>
      <c r="H819" s="68"/>
      <c r="I819" s="68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9"/>
      <c r="B820" s="67"/>
      <c r="C820" s="68"/>
      <c r="D820" s="68"/>
      <c r="E820" s="68"/>
      <c r="F820" s="68"/>
      <c r="G820" s="68"/>
      <c r="H820" s="68"/>
      <c r="I820" s="68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9"/>
      <c r="B821" s="67"/>
      <c r="C821" s="68"/>
      <c r="D821" s="68"/>
      <c r="E821" s="68"/>
      <c r="F821" s="68"/>
      <c r="G821" s="68"/>
      <c r="H821" s="68"/>
      <c r="I821" s="68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9"/>
      <c r="B822" s="67"/>
      <c r="C822" s="68"/>
      <c r="D822" s="68"/>
      <c r="E822" s="68"/>
      <c r="F822" s="68"/>
      <c r="G822" s="68"/>
      <c r="H822" s="68"/>
      <c r="I822" s="68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9"/>
      <c r="B823" s="67"/>
      <c r="C823" s="68"/>
      <c r="D823" s="68"/>
      <c r="E823" s="68"/>
      <c r="F823" s="68"/>
      <c r="G823" s="68"/>
      <c r="H823" s="68"/>
      <c r="I823" s="68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9"/>
      <c r="B824" s="67"/>
      <c r="C824" s="68"/>
      <c r="D824" s="68"/>
      <c r="E824" s="68"/>
      <c r="F824" s="68"/>
      <c r="G824" s="68"/>
      <c r="H824" s="68"/>
      <c r="I824" s="68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9"/>
      <c r="B825" s="67"/>
      <c r="C825" s="68"/>
      <c r="D825" s="68"/>
      <c r="E825" s="68"/>
      <c r="F825" s="68"/>
      <c r="G825" s="68"/>
      <c r="H825" s="68"/>
      <c r="I825" s="68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9"/>
      <c r="B826" s="67"/>
      <c r="C826" s="68"/>
      <c r="D826" s="68"/>
      <c r="E826" s="68"/>
      <c r="F826" s="68"/>
      <c r="G826" s="68"/>
      <c r="H826" s="68"/>
      <c r="I826" s="68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9"/>
      <c r="B827" s="67"/>
      <c r="C827" s="68"/>
      <c r="D827" s="68"/>
      <c r="E827" s="68"/>
      <c r="F827" s="68"/>
      <c r="G827" s="68"/>
      <c r="H827" s="68"/>
      <c r="I827" s="68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9"/>
      <c r="B828" s="67"/>
      <c r="C828" s="68"/>
      <c r="D828" s="68"/>
      <c r="E828" s="68"/>
      <c r="F828" s="68"/>
      <c r="G828" s="68"/>
      <c r="H828" s="68"/>
      <c r="I828" s="68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9"/>
      <c r="B829" s="67"/>
      <c r="C829" s="68"/>
      <c r="D829" s="68"/>
      <c r="E829" s="68"/>
      <c r="F829" s="68"/>
      <c r="G829" s="68"/>
      <c r="H829" s="68"/>
      <c r="I829" s="68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9"/>
      <c r="B830" s="67"/>
      <c r="C830" s="68"/>
      <c r="D830" s="68"/>
      <c r="E830" s="68"/>
      <c r="F830" s="68"/>
      <c r="G830" s="68"/>
      <c r="H830" s="68"/>
      <c r="I830" s="68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9"/>
      <c r="B831" s="67"/>
      <c r="C831" s="68"/>
      <c r="D831" s="68"/>
      <c r="E831" s="68"/>
      <c r="F831" s="68"/>
      <c r="G831" s="68"/>
      <c r="H831" s="68"/>
      <c r="I831" s="68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9"/>
      <c r="B832" s="67"/>
      <c r="C832" s="68"/>
      <c r="D832" s="68"/>
      <c r="E832" s="68"/>
      <c r="F832" s="68"/>
      <c r="G832" s="68"/>
      <c r="H832" s="68"/>
      <c r="I832" s="68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9"/>
      <c r="B833" s="67"/>
      <c r="C833" s="68"/>
      <c r="D833" s="68"/>
      <c r="E833" s="68"/>
      <c r="F833" s="68"/>
      <c r="G833" s="68"/>
      <c r="H833" s="68"/>
      <c r="I833" s="68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9"/>
      <c r="B834" s="67"/>
      <c r="C834" s="68"/>
      <c r="D834" s="68"/>
      <c r="E834" s="68"/>
      <c r="F834" s="68"/>
      <c r="G834" s="68"/>
      <c r="H834" s="68"/>
      <c r="I834" s="68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9"/>
      <c r="B835" s="67"/>
      <c r="C835" s="68"/>
      <c r="D835" s="68"/>
      <c r="E835" s="68"/>
      <c r="F835" s="68"/>
      <c r="G835" s="68"/>
      <c r="H835" s="68"/>
      <c r="I835" s="68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9"/>
      <c r="B836" s="67"/>
      <c r="C836" s="68"/>
      <c r="D836" s="68"/>
      <c r="E836" s="68"/>
      <c r="F836" s="68"/>
      <c r="G836" s="68"/>
      <c r="H836" s="68"/>
      <c r="I836" s="68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9"/>
      <c r="B837" s="67"/>
      <c r="C837" s="68"/>
      <c r="D837" s="68"/>
      <c r="E837" s="68"/>
      <c r="F837" s="68"/>
      <c r="G837" s="68"/>
      <c r="H837" s="68"/>
      <c r="I837" s="68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9"/>
      <c r="B838" s="67"/>
      <c r="C838" s="68"/>
      <c r="D838" s="68"/>
      <c r="E838" s="68"/>
      <c r="F838" s="68"/>
      <c r="G838" s="68"/>
      <c r="H838" s="68"/>
      <c r="I838" s="68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9"/>
      <c r="B839" s="67"/>
      <c r="C839" s="68"/>
      <c r="D839" s="68"/>
      <c r="E839" s="68"/>
      <c r="F839" s="68"/>
      <c r="G839" s="68"/>
      <c r="H839" s="68"/>
      <c r="I839" s="68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9"/>
      <c r="B840" s="67"/>
      <c r="C840" s="68"/>
      <c r="D840" s="68"/>
      <c r="E840" s="68"/>
      <c r="F840" s="68"/>
      <c r="G840" s="68"/>
      <c r="H840" s="68"/>
      <c r="I840" s="68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9"/>
      <c r="B841" s="67"/>
      <c r="C841" s="68"/>
      <c r="D841" s="68"/>
      <c r="E841" s="68"/>
      <c r="F841" s="68"/>
      <c r="G841" s="68"/>
      <c r="H841" s="68"/>
      <c r="I841" s="68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9"/>
      <c r="B842" s="67"/>
      <c r="C842" s="68"/>
      <c r="D842" s="68"/>
      <c r="E842" s="68"/>
      <c r="F842" s="68"/>
      <c r="G842" s="68"/>
      <c r="H842" s="68"/>
      <c r="I842" s="68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9"/>
      <c r="B843" s="67"/>
      <c r="C843" s="68"/>
      <c r="D843" s="68"/>
      <c r="E843" s="68"/>
      <c r="F843" s="68"/>
      <c r="G843" s="68"/>
      <c r="H843" s="68"/>
      <c r="I843" s="68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9"/>
      <c r="B844" s="67"/>
      <c r="C844" s="68"/>
      <c r="D844" s="68"/>
      <c r="E844" s="68"/>
      <c r="F844" s="68"/>
      <c r="G844" s="68"/>
      <c r="H844" s="68"/>
      <c r="I844" s="68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9"/>
      <c r="B845" s="67"/>
      <c r="C845" s="68"/>
      <c r="D845" s="68"/>
      <c r="E845" s="68"/>
      <c r="F845" s="68"/>
      <c r="G845" s="68"/>
      <c r="H845" s="68"/>
      <c r="I845" s="68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9"/>
      <c r="B846" s="67"/>
      <c r="C846" s="68"/>
      <c r="D846" s="68"/>
      <c r="E846" s="68"/>
      <c r="F846" s="68"/>
      <c r="G846" s="68"/>
      <c r="H846" s="68"/>
      <c r="I846" s="68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9"/>
      <c r="B847" s="67"/>
      <c r="C847" s="68"/>
      <c r="D847" s="68"/>
      <c r="E847" s="68"/>
      <c r="F847" s="68"/>
      <c r="G847" s="68"/>
      <c r="H847" s="68"/>
      <c r="I847" s="68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9"/>
      <c r="B848" s="67"/>
      <c r="C848" s="68"/>
      <c r="D848" s="68"/>
      <c r="E848" s="68"/>
      <c r="F848" s="68"/>
      <c r="G848" s="68"/>
      <c r="H848" s="68"/>
      <c r="I848" s="68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9"/>
      <c r="B849" s="67"/>
      <c r="C849" s="68"/>
      <c r="D849" s="68"/>
      <c r="E849" s="68"/>
      <c r="F849" s="68"/>
      <c r="G849" s="68"/>
      <c r="H849" s="68"/>
      <c r="I849" s="68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9"/>
      <c r="B850" s="67"/>
      <c r="C850" s="68"/>
      <c r="D850" s="68"/>
      <c r="E850" s="68"/>
      <c r="F850" s="68"/>
      <c r="G850" s="68"/>
      <c r="H850" s="68"/>
      <c r="I850" s="68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9"/>
      <c r="B851" s="67"/>
      <c r="C851" s="68"/>
      <c r="D851" s="68"/>
      <c r="E851" s="68"/>
      <c r="F851" s="68"/>
      <c r="G851" s="68"/>
      <c r="H851" s="68"/>
      <c r="I851" s="68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9"/>
      <c r="B852" s="67"/>
      <c r="C852" s="68"/>
      <c r="D852" s="68"/>
      <c r="E852" s="68"/>
      <c r="F852" s="68"/>
      <c r="G852" s="68"/>
      <c r="H852" s="68"/>
      <c r="I852" s="68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9"/>
      <c r="B853" s="67"/>
      <c r="C853" s="68"/>
      <c r="D853" s="68"/>
      <c r="E853" s="68"/>
      <c r="F853" s="68"/>
      <c r="G853" s="68"/>
      <c r="H853" s="68"/>
      <c r="I853" s="68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9"/>
      <c r="B854" s="67"/>
      <c r="C854" s="68"/>
      <c r="D854" s="68"/>
      <c r="E854" s="68"/>
      <c r="F854" s="68"/>
      <c r="G854" s="68"/>
      <c r="H854" s="68"/>
      <c r="I854" s="68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9"/>
      <c r="B855" s="67"/>
      <c r="C855" s="68"/>
      <c r="D855" s="68"/>
      <c r="E855" s="68"/>
      <c r="F855" s="68"/>
      <c r="G855" s="68"/>
      <c r="H855" s="68"/>
      <c r="I855" s="68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9"/>
      <c r="B856" s="67"/>
      <c r="C856" s="68"/>
      <c r="D856" s="68"/>
      <c r="E856" s="68"/>
      <c r="F856" s="68"/>
      <c r="G856" s="68"/>
      <c r="H856" s="68"/>
      <c r="I856" s="68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9"/>
      <c r="B857" s="67"/>
      <c r="C857" s="68"/>
      <c r="D857" s="68"/>
      <c r="E857" s="68"/>
      <c r="F857" s="68"/>
      <c r="G857" s="68"/>
      <c r="H857" s="68"/>
      <c r="I857" s="68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9"/>
      <c r="B858" s="67"/>
      <c r="C858" s="68"/>
      <c r="D858" s="68"/>
      <c r="E858" s="68"/>
      <c r="F858" s="68"/>
      <c r="G858" s="68"/>
      <c r="H858" s="68"/>
      <c r="I858" s="68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9"/>
      <c r="B859" s="67"/>
      <c r="C859" s="68"/>
      <c r="D859" s="68"/>
      <c r="E859" s="68"/>
      <c r="F859" s="68"/>
      <c r="G859" s="68"/>
      <c r="H859" s="68"/>
      <c r="I859" s="68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9"/>
      <c r="B860" s="67"/>
      <c r="C860" s="68"/>
      <c r="D860" s="68"/>
      <c r="E860" s="68"/>
      <c r="F860" s="68"/>
      <c r="G860" s="68"/>
      <c r="H860" s="68"/>
      <c r="I860" s="68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9"/>
      <c r="B861" s="67"/>
      <c r="C861" s="68"/>
      <c r="D861" s="68"/>
      <c r="E861" s="68"/>
      <c r="F861" s="68"/>
      <c r="G861" s="68"/>
      <c r="H861" s="68"/>
      <c r="I861" s="68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9"/>
      <c r="B862" s="67"/>
      <c r="C862" s="68"/>
      <c r="D862" s="68"/>
      <c r="E862" s="68"/>
      <c r="F862" s="68"/>
      <c r="G862" s="68"/>
      <c r="H862" s="68"/>
      <c r="I862" s="68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9"/>
      <c r="B863" s="67"/>
      <c r="C863" s="68"/>
      <c r="D863" s="68"/>
      <c r="E863" s="68"/>
      <c r="F863" s="68"/>
      <c r="G863" s="68"/>
      <c r="H863" s="68"/>
      <c r="I863" s="68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9"/>
      <c r="B864" s="67"/>
      <c r="C864" s="68"/>
      <c r="D864" s="68"/>
      <c r="E864" s="68"/>
      <c r="F864" s="68"/>
      <c r="G864" s="68"/>
      <c r="H864" s="68"/>
      <c r="I864" s="68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9"/>
      <c r="B865" s="67"/>
      <c r="C865" s="68"/>
      <c r="D865" s="68"/>
      <c r="E865" s="68"/>
      <c r="F865" s="68"/>
      <c r="G865" s="68"/>
      <c r="H865" s="68"/>
      <c r="I865" s="68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9"/>
      <c r="B866" s="67"/>
      <c r="C866" s="68"/>
      <c r="D866" s="68"/>
      <c r="E866" s="68"/>
      <c r="F866" s="68"/>
      <c r="G866" s="68"/>
      <c r="H866" s="68"/>
      <c r="I866" s="68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9"/>
      <c r="B867" s="67"/>
      <c r="C867" s="68"/>
      <c r="D867" s="68"/>
      <c r="E867" s="68"/>
      <c r="F867" s="68"/>
      <c r="G867" s="68"/>
      <c r="H867" s="68"/>
      <c r="I867" s="68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9"/>
      <c r="B868" s="67"/>
      <c r="C868" s="68"/>
      <c r="D868" s="68"/>
      <c r="E868" s="68"/>
      <c r="F868" s="68"/>
      <c r="G868" s="68"/>
      <c r="H868" s="68"/>
      <c r="I868" s="68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9"/>
      <c r="B869" s="67"/>
      <c r="C869" s="68"/>
      <c r="D869" s="68"/>
      <c r="E869" s="68"/>
      <c r="F869" s="68"/>
      <c r="G869" s="68"/>
      <c r="H869" s="68"/>
      <c r="I869" s="68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9"/>
      <c r="B870" s="67"/>
      <c r="C870" s="68"/>
      <c r="D870" s="68"/>
      <c r="E870" s="68"/>
      <c r="F870" s="68"/>
      <c r="G870" s="68"/>
      <c r="H870" s="68"/>
      <c r="I870" s="68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9"/>
      <c r="B871" s="67"/>
      <c r="C871" s="68"/>
      <c r="D871" s="68"/>
      <c r="E871" s="68"/>
      <c r="F871" s="68"/>
      <c r="G871" s="68"/>
      <c r="H871" s="68"/>
      <c r="I871" s="68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9"/>
      <c r="B872" s="67"/>
      <c r="C872" s="68"/>
      <c r="D872" s="68"/>
      <c r="E872" s="68"/>
      <c r="F872" s="68"/>
      <c r="G872" s="68"/>
      <c r="H872" s="68"/>
      <c r="I872" s="68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9"/>
      <c r="B873" s="67"/>
      <c r="C873" s="68"/>
      <c r="D873" s="68"/>
      <c r="E873" s="68"/>
      <c r="F873" s="68"/>
      <c r="G873" s="68"/>
      <c r="H873" s="68"/>
      <c r="I873" s="68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9"/>
      <c r="B874" s="67"/>
      <c r="C874" s="68"/>
      <c r="D874" s="68"/>
      <c r="E874" s="68"/>
      <c r="F874" s="68"/>
      <c r="G874" s="68"/>
      <c r="H874" s="68"/>
      <c r="I874" s="68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9"/>
      <c r="B875" s="67"/>
      <c r="C875" s="68"/>
      <c r="D875" s="68"/>
      <c r="E875" s="68"/>
      <c r="F875" s="68"/>
      <c r="G875" s="68"/>
      <c r="H875" s="68"/>
      <c r="I875" s="68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9"/>
      <c r="B876" s="67"/>
      <c r="C876" s="68"/>
      <c r="D876" s="68"/>
      <c r="E876" s="68"/>
      <c r="F876" s="68"/>
      <c r="G876" s="68"/>
      <c r="H876" s="68"/>
      <c r="I876" s="68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9"/>
      <c r="B877" s="67"/>
      <c r="C877" s="68"/>
      <c r="D877" s="68"/>
      <c r="E877" s="68"/>
      <c r="F877" s="68"/>
      <c r="G877" s="68"/>
      <c r="H877" s="68"/>
      <c r="I877" s="68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9"/>
      <c r="B878" s="67"/>
      <c r="C878" s="68"/>
      <c r="D878" s="68"/>
      <c r="E878" s="68"/>
      <c r="F878" s="68"/>
      <c r="G878" s="68"/>
      <c r="H878" s="68"/>
      <c r="I878" s="68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9"/>
      <c r="B879" s="67"/>
      <c r="C879" s="68"/>
      <c r="D879" s="68"/>
      <c r="E879" s="68"/>
      <c r="F879" s="68"/>
      <c r="G879" s="68"/>
      <c r="H879" s="68"/>
      <c r="I879" s="68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9"/>
      <c r="B880" s="67"/>
      <c r="C880" s="68"/>
      <c r="D880" s="68"/>
      <c r="E880" s="68"/>
      <c r="F880" s="68"/>
      <c r="G880" s="68"/>
      <c r="H880" s="68"/>
      <c r="I880" s="68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9"/>
      <c r="B881" s="67"/>
      <c r="C881" s="68"/>
      <c r="D881" s="68"/>
      <c r="E881" s="68"/>
      <c r="F881" s="68"/>
      <c r="G881" s="68"/>
      <c r="H881" s="68"/>
      <c r="I881" s="68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9"/>
      <c r="B882" s="67"/>
      <c r="C882" s="68"/>
      <c r="D882" s="68"/>
      <c r="E882" s="68"/>
      <c r="F882" s="68"/>
      <c r="G882" s="68"/>
      <c r="H882" s="68"/>
      <c r="I882" s="68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9"/>
      <c r="B883" s="67"/>
      <c r="C883" s="68"/>
      <c r="D883" s="68"/>
      <c r="E883" s="68"/>
      <c r="F883" s="68"/>
      <c r="G883" s="68"/>
      <c r="H883" s="68"/>
      <c r="I883" s="68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9"/>
      <c r="B884" s="67"/>
      <c r="C884" s="68"/>
      <c r="D884" s="68"/>
      <c r="E884" s="68"/>
      <c r="F884" s="68"/>
      <c r="G884" s="68"/>
      <c r="H884" s="68"/>
      <c r="I884" s="68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9"/>
      <c r="B885" s="67"/>
      <c r="C885" s="68"/>
      <c r="D885" s="68"/>
      <c r="E885" s="68"/>
      <c r="F885" s="68"/>
      <c r="G885" s="68"/>
      <c r="H885" s="68"/>
      <c r="I885" s="68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9"/>
      <c r="B886" s="67"/>
      <c r="C886" s="68"/>
      <c r="D886" s="68"/>
      <c r="E886" s="68"/>
      <c r="F886" s="68"/>
      <c r="G886" s="68"/>
      <c r="H886" s="68"/>
      <c r="I886" s="68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9"/>
      <c r="B887" s="67"/>
      <c r="C887" s="68"/>
      <c r="D887" s="68"/>
      <c r="E887" s="68"/>
      <c r="F887" s="68"/>
      <c r="G887" s="68"/>
      <c r="H887" s="68"/>
      <c r="I887" s="68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9"/>
      <c r="B888" s="67"/>
      <c r="C888" s="68"/>
      <c r="D888" s="68"/>
      <c r="E888" s="68"/>
      <c r="F888" s="68"/>
      <c r="G888" s="68"/>
      <c r="H888" s="68"/>
      <c r="I888" s="68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9"/>
      <c r="B889" s="67"/>
      <c r="C889" s="68"/>
      <c r="D889" s="68"/>
      <c r="E889" s="68"/>
      <c r="F889" s="68"/>
      <c r="G889" s="68"/>
      <c r="H889" s="68"/>
      <c r="I889" s="68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9"/>
      <c r="B890" s="67"/>
      <c r="C890" s="68"/>
      <c r="D890" s="68"/>
      <c r="E890" s="68"/>
      <c r="F890" s="68"/>
      <c r="G890" s="68"/>
      <c r="H890" s="68"/>
      <c r="I890" s="68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9"/>
      <c r="B891" s="67"/>
      <c r="C891" s="68"/>
      <c r="D891" s="68"/>
      <c r="E891" s="68"/>
      <c r="F891" s="68"/>
      <c r="G891" s="68"/>
      <c r="H891" s="68"/>
      <c r="I891" s="68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9"/>
      <c r="B892" s="67"/>
      <c r="C892" s="68"/>
      <c r="D892" s="68"/>
      <c r="E892" s="68"/>
      <c r="F892" s="68"/>
      <c r="G892" s="68"/>
      <c r="H892" s="68"/>
      <c r="I892" s="68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9"/>
      <c r="B893" s="67"/>
      <c r="C893" s="68"/>
      <c r="D893" s="68"/>
      <c r="E893" s="68"/>
      <c r="F893" s="68"/>
      <c r="G893" s="68"/>
      <c r="H893" s="68"/>
      <c r="I893" s="68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9"/>
      <c r="B894" s="67"/>
      <c r="C894" s="68"/>
      <c r="D894" s="68"/>
      <c r="E894" s="68"/>
      <c r="F894" s="68"/>
      <c r="G894" s="68"/>
      <c r="H894" s="68"/>
      <c r="I894" s="68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9"/>
      <c r="B895" s="67"/>
      <c r="C895" s="68"/>
      <c r="D895" s="68"/>
      <c r="E895" s="68"/>
      <c r="F895" s="68"/>
      <c r="G895" s="68"/>
      <c r="H895" s="68"/>
      <c r="I895" s="68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9"/>
      <c r="B896" s="67"/>
      <c r="C896" s="68"/>
      <c r="D896" s="68"/>
      <c r="E896" s="68"/>
      <c r="F896" s="68"/>
      <c r="G896" s="68"/>
      <c r="H896" s="68"/>
      <c r="I896" s="68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9"/>
      <c r="B897" s="67"/>
      <c r="C897" s="68"/>
      <c r="D897" s="68"/>
      <c r="E897" s="68"/>
      <c r="F897" s="68"/>
      <c r="G897" s="68"/>
      <c r="H897" s="68"/>
      <c r="I897" s="68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9"/>
      <c r="B898" s="67"/>
      <c r="C898" s="68"/>
      <c r="D898" s="68"/>
      <c r="E898" s="68"/>
      <c r="F898" s="68"/>
      <c r="G898" s="68"/>
      <c r="H898" s="68"/>
      <c r="I898" s="68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9"/>
      <c r="B899" s="67"/>
      <c r="C899" s="68"/>
      <c r="D899" s="68"/>
      <c r="E899" s="68"/>
      <c r="F899" s="68"/>
      <c r="G899" s="68"/>
      <c r="H899" s="68"/>
      <c r="I899" s="68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9"/>
      <c r="B900" s="67"/>
      <c r="C900" s="68"/>
      <c r="D900" s="68"/>
      <c r="E900" s="68"/>
      <c r="F900" s="68"/>
      <c r="G900" s="68"/>
      <c r="H900" s="68"/>
      <c r="I900" s="68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9"/>
      <c r="B901" s="67"/>
      <c r="C901" s="68"/>
      <c r="D901" s="68"/>
      <c r="E901" s="68"/>
      <c r="F901" s="68"/>
      <c r="G901" s="68"/>
      <c r="H901" s="68"/>
      <c r="I901" s="68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9"/>
      <c r="B902" s="67"/>
      <c r="C902" s="68"/>
      <c r="D902" s="68"/>
      <c r="E902" s="68"/>
      <c r="F902" s="68"/>
      <c r="G902" s="68"/>
      <c r="H902" s="68"/>
      <c r="I902" s="68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9"/>
      <c r="B903" s="67"/>
      <c r="C903" s="68"/>
      <c r="D903" s="68"/>
      <c r="E903" s="68"/>
      <c r="F903" s="68"/>
      <c r="G903" s="68"/>
      <c r="H903" s="68"/>
      <c r="I903" s="68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9"/>
      <c r="B904" s="67"/>
      <c r="C904" s="68"/>
      <c r="D904" s="68"/>
      <c r="E904" s="68"/>
      <c r="F904" s="68"/>
      <c r="G904" s="68"/>
      <c r="H904" s="68"/>
      <c r="I904" s="68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9"/>
      <c r="B905" s="67"/>
      <c r="C905" s="68"/>
      <c r="D905" s="68"/>
      <c r="E905" s="68"/>
      <c r="F905" s="68"/>
      <c r="G905" s="68"/>
      <c r="H905" s="68"/>
      <c r="I905" s="68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9"/>
      <c r="B906" s="67"/>
      <c r="C906" s="68"/>
      <c r="D906" s="68"/>
      <c r="E906" s="68"/>
      <c r="F906" s="68"/>
      <c r="G906" s="68"/>
      <c r="H906" s="68"/>
      <c r="I906" s="68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9"/>
      <c r="B907" s="67"/>
      <c r="C907" s="68"/>
      <c r="D907" s="68"/>
      <c r="E907" s="68"/>
      <c r="F907" s="68"/>
      <c r="G907" s="68"/>
      <c r="H907" s="68"/>
      <c r="I907" s="68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9"/>
      <c r="B908" s="67"/>
      <c r="C908" s="68"/>
      <c r="D908" s="68"/>
      <c r="E908" s="68"/>
      <c r="F908" s="68"/>
      <c r="G908" s="68"/>
      <c r="H908" s="68"/>
      <c r="I908" s="68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9"/>
      <c r="B909" s="67"/>
      <c r="C909" s="68"/>
      <c r="D909" s="68"/>
      <c r="E909" s="68"/>
      <c r="F909" s="68"/>
      <c r="G909" s="68"/>
      <c r="H909" s="68"/>
      <c r="I909" s="68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9"/>
      <c r="B910" s="67"/>
      <c r="C910" s="68"/>
      <c r="D910" s="68"/>
      <c r="E910" s="68"/>
      <c r="F910" s="68"/>
      <c r="G910" s="68"/>
      <c r="H910" s="68"/>
      <c r="I910" s="68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9"/>
      <c r="B911" s="67"/>
      <c r="C911" s="68"/>
      <c r="D911" s="68"/>
      <c r="E911" s="68"/>
      <c r="F911" s="68"/>
      <c r="G911" s="68"/>
      <c r="H911" s="68"/>
      <c r="I911" s="68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9"/>
      <c r="B912" s="67"/>
      <c r="C912" s="68"/>
      <c r="D912" s="68"/>
      <c r="E912" s="68"/>
      <c r="F912" s="68"/>
      <c r="G912" s="68"/>
      <c r="H912" s="68"/>
      <c r="I912" s="68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9"/>
      <c r="B913" s="67"/>
      <c r="C913" s="68"/>
      <c r="D913" s="68"/>
      <c r="E913" s="68"/>
      <c r="F913" s="68"/>
      <c r="G913" s="68"/>
      <c r="H913" s="68"/>
      <c r="I913" s="68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9"/>
      <c r="B914" s="67"/>
      <c r="C914" s="68"/>
      <c r="D914" s="68"/>
      <c r="E914" s="68"/>
      <c r="F914" s="68"/>
      <c r="G914" s="68"/>
      <c r="H914" s="68"/>
      <c r="I914" s="68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9"/>
      <c r="B915" s="67"/>
      <c r="C915" s="68"/>
      <c r="D915" s="68"/>
      <c r="E915" s="68"/>
      <c r="F915" s="68"/>
      <c r="G915" s="68"/>
      <c r="H915" s="68"/>
      <c r="I915" s="68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9"/>
      <c r="B916" s="67"/>
      <c r="C916" s="68"/>
      <c r="D916" s="68"/>
      <c r="E916" s="68"/>
      <c r="F916" s="68"/>
      <c r="G916" s="68"/>
      <c r="H916" s="68"/>
      <c r="I916" s="68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9"/>
      <c r="B917" s="67"/>
      <c r="C917" s="68"/>
      <c r="D917" s="68"/>
      <c r="E917" s="68"/>
      <c r="F917" s="68"/>
      <c r="G917" s="68"/>
      <c r="H917" s="68"/>
      <c r="I917" s="68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9"/>
      <c r="B918" s="67"/>
      <c r="C918" s="68"/>
      <c r="D918" s="68"/>
      <c r="E918" s="68"/>
      <c r="F918" s="68"/>
      <c r="G918" s="68"/>
      <c r="H918" s="68"/>
      <c r="I918" s="68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9"/>
      <c r="B919" s="67"/>
      <c r="C919" s="68"/>
      <c r="D919" s="68"/>
      <c r="E919" s="68"/>
      <c r="F919" s="68"/>
      <c r="G919" s="68"/>
      <c r="H919" s="68"/>
      <c r="I919" s="68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9"/>
      <c r="B920" s="67"/>
      <c r="C920" s="68"/>
      <c r="D920" s="68"/>
      <c r="E920" s="68"/>
      <c r="F920" s="68"/>
      <c r="G920" s="68"/>
      <c r="H920" s="68"/>
      <c r="I920" s="68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9"/>
      <c r="B921" s="67"/>
      <c r="C921" s="68"/>
      <c r="D921" s="68"/>
      <c r="E921" s="68"/>
      <c r="F921" s="68"/>
      <c r="G921" s="68"/>
      <c r="H921" s="68"/>
      <c r="I921" s="68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9"/>
      <c r="B922" s="67"/>
      <c r="C922" s="68"/>
      <c r="D922" s="68"/>
      <c r="E922" s="68"/>
      <c r="F922" s="68"/>
      <c r="G922" s="68"/>
      <c r="H922" s="68"/>
      <c r="I922" s="68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9"/>
      <c r="B923" s="67"/>
      <c r="C923" s="68"/>
      <c r="D923" s="68"/>
      <c r="E923" s="68"/>
      <c r="F923" s="68"/>
      <c r="G923" s="68"/>
      <c r="H923" s="68"/>
      <c r="I923" s="68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9"/>
      <c r="B924" s="67"/>
      <c r="C924" s="68"/>
      <c r="D924" s="68"/>
      <c r="E924" s="68"/>
      <c r="F924" s="68"/>
      <c r="G924" s="68"/>
      <c r="H924" s="68"/>
      <c r="I924" s="68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9"/>
      <c r="B925" s="67"/>
      <c r="C925" s="68"/>
      <c r="D925" s="68"/>
      <c r="E925" s="68"/>
      <c r="F925" s="68"/>
      <c r="G925" s="68"/>
      <c r="H925" s="68"/>
      <c r="I925" s="68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9"/>
      <c r="B926" s="67"/>
      <c r="C926" s="68"/>
      <c r="D926" s="68"/>
      <c r="E926" s="68"/>
      <c r="F926" s="68"/>
      <c r="G926" s="68"/>
      <c r="H926" s="68"/>
      <c r="I926" s="68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9"/>
      <c r="B927" s="67"/>
      <c r="C927" s="68"/>
      <c r="D927" s="68"/>
      <c r="E927" s="68"/>
      <c r="F927" s="68"/>
      <c r="G927" s="68"/>
      <c r="H927" s="68"/>
      <c r="I927" s="68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9"/>
      <c r="B928" s="67"/>
      <c r="C928" s="68"/>
      <c r="D928" s="68"/>
      <c r="E928" s="68"/>
      <c r="F928" s="68"/>
      <c r="G928" s="68"/>
      <c r="H928" s="68"/>
      <c r="I928" s="68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9"/>
      <c r="B929" s="67"/>
      <c r="C929" s="68"/>
      <c r="D929" s="68"/>
      <c r="E929" s="68"/>
      <c r="F929" s="68"/>
      <c r="G929" s="68"/>
      <c r="H929" s="68"/>
      <c r="I929" s="68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9"/>
      <c r="B930" s="67"/>
      <c r="C930" s="68"/>
      <c r="D930" s="68"/>
      <c r="E930" s="68"/>
      <c r="F930" s="68"/>
      <c r="G930" s="68"/>
      <c r="H930" s="68"/>
      <c r="I930" s="68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9"/>
      <c r="B931" s="67"/>
      <c r="C931" s="68"/>
      <c r="D931" s="68"/>
      <c r="E931" s="68"/>
      <c r="F931" s="68"/>
      <c r="G931" s="68"/>
      <c r="H931" s="68"/>
      <c r="I931" s="68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9"/>
      <c r="B932" s="67"/>
      <c r="C932" s="68"/>
      <c r="D932" s="68"/>
      <c r="E932" s="68"/>
      <c r="F932" s="68"/>
      <c r="G932" s="68"/>
      <c r="H932" s="68"/>
      <c r="I932" s="68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9"/>
      <c r="B933" s="67"/>
      <c r="C933" s="68"/>
      <c r="D933" s="68"/>
      <c r="E933" s="68"/>
      <c r="F933" s="68"/>
      <c r="G933" s="68"/>
      <c r="H933" s="68"/>
      <c r="I933" s="68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9"/>
      <c r="B934" s="67"/>
      <c r="C934" s="68"/>
      <c r="D934" s="68"/>
      <c r="E934" s="68"/>
      <c r="F934" s="68"/>
      <c r="G934" s="68"/>
      <c r="H934" s="68"/>
      <c r="I934" s="68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9"/>
      <c r="B935" s="67"/>
      <c r="C935" s="68"/>
      <c r="D935" s="68"/>
      <c r="E935" s="68"/>
      <c r="F935" s="68"/>
      <c r="G935" s="68"/>
      <c r="H935" s="68"/>
      <c r="I935" s="68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9"/>
      <c r="B936" s="67"/>
      <c r="C936" s="68"/>
      <c r="D936" s="68"/>
      <c r="E936" s="68"/>
      <c r="F936" s="68"/>
      <c r="G936" s="68"/>
      <c r="H936" s="68"/>
      <c r="I936" s="68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9"/>
      <c r="B937" s="67"/>
      <c r="C937" s="68"/>
      <c r="D937" s="68"/>
      <c r="E937" s="68"/>
      <c r="F937" s="68"/>
      <c r="G937" s="68"/>
      <c r="H937" s="68"/>
      <c r="I937" s="68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9"/>
      <c r="B938" s="67"/>
      <c r="C938" s="68"/>
      <c r="D938" s="68"/>
      <c r="E938" s="68"/>
      <c r="F938" s="68"/>
      <c r="G938" s="68"/>
      <c r="H938" s="68"/>
      <c r="I938" s="68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9"/>
      <c r="B939" s="67"/>
      <c r="C939" s="68"/>
      <c r="D939" s="68"/>
      <c r="E939" s="68"/>
      <c r="F939" s="68"/>
      <c r="G939" s="68"/>
      <c r="H939" s="68"/>
      <c r="I939" s="68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9"/>
      <c r="B940" s="67"/>
      <c r="C940" s="68"/>
      <c r="D940" s="68"/>
      <c r="E940" s="68"/>
      <c r="F940" s="68"/>
      <c r="G940" s="68"/>
      <c r="H940" s="68"/>
      <c r="I940" s="68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9"/>
      <c r="B941" s="67"/>
      <c r="C941" s="68"/>
      <c r="D941" s="68"/>
      <c r="E941" s="68"/>
      <c r="F941" s="68"/>
      <c r="G941" s="68"/>
      <c r="H941" s="68"/>
      <c r="I941" s="68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9"/>
      <c r="B942" s="67"/>
      <c r="C942" s="68"/>
      <c r="D942" s="68"/>
      <c r="E942" s="68"/>
      <c r="F942" s="68"/>
      <c r="G942" s="68"/>
      <c r="H942" s="68"/>
      <c r="I942" s="68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9"/>
      <c r="B943" s="67"/>
      <c r="C943" s="68"/>
      <c r="D943" s="68"/>
      <c r="E943" s="68"/>
      <c r="F943" s="68"/>
      <c r="G943" s="68"/>
      <c r="H943" s="68"/>
      <c r="I943" s="68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9"/>
      <c r="B944" s="67"/>
      <c r="C944" s="68"/>
      <c r="D944" s="68"/>
      <c r="E944" s="68"/>
      <c r="F944" s="68"/>
      <c r="G944" s="68"/>
      <c r="H944" s="68"/>
      <c r="I944" s="68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9"/>
      <c r="B945" s="67"/>
      <c r="C945" s="68"/>
      <c r="D945" s="68"/>
      <c r="E945" s="68"/>
      <c r="F945" s="68"/>
      <c r="G945" s="68"/>
      <c r="H945" s="68"/>
      <c r="I945" s="68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9"/>
      <c r="B946" s="67"/>
      <c r="C946" s="68"/>
      <c r="D946" s="68"/>
      <c r="E946" s="68"/>
      <c r="F946" s="68"/>
      <c r="G946" s="68"/>
      <c r="H946" s="68"/>
      <c r="I946" s="68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9"/>
      <c r="B947" s="67"/>
      <c r="C947" s="68"/>
      <c r="D947" s="68"/>
      <c r="E947" s="68"/>
      <c r="F947" s="68"/>
      <c r="G947" s="68"/>
      <c r="H947" s="68"/>
      <c r="I947" s="68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9"/>
      <c r="B948" s="67"/>
      <c r="C948" s="68"/>
      <c r="D948" s="68"/>
      <c r="E948" s="68"/>
      <c r="F948" s="68"/>
      <c r="G948" s="68"/>
      <c r="H948" s="68"/>
      <c r="I948" s="68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9"/>
      <c r="B949" s="67"/>
      <c r="C949" s="68"/>
      <c r="D949" s="68"/>
      <c r="E949" s="68"/>
      <c r="F949" s="68"/>
      <c r="G949" s="68"/>
      <c r="H949" s="68"/>
      <c r="I949" s="68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9"/>
      <c r="B950" s="67"/>
      <c r="C950" s="68"/>
      <c r="D950" s="68"/>
      <c r="E950" s="68"/>
      <c r="F950" s="68"/>
      <c r="G950" s="68"/>
      <c r="H950" s="68"/>
      <c r="I950" s="68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9"/>
      <c r="B951" s="67"/>
      <c r="C951" s="68"/>
      <c r="D951" s="68"/>
      <c r="E951" s="68"/>
      <c r="F951" s="68"/>
      <c r="G951" s="68"/>
      <c r="H951" s="68"/>
      <c r="I951" s="68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9"/>
      <c r="B952" s="67"/>
      <c r="C952" s="68"/>
      <c r="D952" s="68"/>
      <c r="E952" s="68"/>
      <c r="F952" s="68"/>
      <c r="G952" s="68"/>
      <c r="H952" s="68"/>
      <c r="I952" s="68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9"/>
      <c r="B953" s="67"/>
      <c r="C953" s="68"/>
      <c r="D953" s="68"/>
      <c r="E953" s="68"/>
      <c r="F953" s="68"/>
      <c r="G953" s="68"/>
      <c r="H953" s="68"/>
      <c r="I953" s="68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9"/>
      <c r="B954" s="67"/>
      <c r="C954" s="68"/>
      <c r="D954" s="68"/>
      <c r="E954" s="68"/>
      <c r="F954" s="68"/>
      <c r="G954" s="68"/>
      <c r="H954" s="68"/>
      <c r="I954" s="68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9"/>
      <c r="B955" s="67"/>
      <c r="C955" s="68"/>
      <c r="D955" s="68"/>
      <c r="E955" s="68"/>
      <c r="F955" s="68"/>
      <c r="G955" s="68"/>
      <c r="H955" s="68"/>
      <c r="I955" s="68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9"/>
      <c r="B956" s="67"/>
      <c r="C956" s="68"/>
      <c r="D956" s="68"/>
      <c r="E956" s="68"/>
      <c r="F956" s="68"/>
      <c r="G956" s="68"/>
      <c r="H956" s="68"/>
      <c r="I956" s="68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9"/>
      <c r="B957" s="67"/>
      <c r="C957" s="68"/>
      <c r="D957" s="68"/>
      <c r="E957" s="68"/>
      <c r="F957" s="68"/>
      <c r="G957" s="68"/>
      <c r="H957" s="68"/>
      <c r="I957" s="68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9"/>
      <c r="B958" s="67"/>
      <c r="C958" s="68"/>
      <c r="D958" s="68"/>
      <c r="E958" s="68"/>
      <c r="F958" s="68"/>
      <c r="G958" s="68"/>
      <c r="H958" s="68"/>
      <c r="I958" s="68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9"/>
      <c r="B959" s="67"/>
      <c r="C959" s="68"/>
      <c r="D959" s="68"/>
      <c r="E959" s="68"/>
      <c r="F959" s="68"/>
      <c r="G959" s="68"/>
      <c r="H959" s="68"/>
      <c r="I959" s="68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9"/>
      <c r="B960" s="67"/>
      <c r="C960" s="68"/>
      <c r="D960" s="68"/>
      <c r="E960" s="68"/>
      <c r="F960" s="68"/>
      <c r="G960" s="68"/>
      <c r="H960" s="68"/>
      <c r="I960" s="68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9"/>
      <c r="B961" s="67"/>
      <c r="C961" s="68"/>
      <c r="D961" s="68"/>
      <c r="E961" s="68"/>
      <c r="F961" s="68"/>
      <c r="G961" s="68"/>
      <c r="H961" s="68"/>
      <c r="I961" s="68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9"/>
      <c r="B962" s="67"/>
      <c r="C962" s="68"/>
      <c r="D962" s="68"/>
      <c r="E962" s="68"/>
      <c r="F962" s="68"/>
      <c r="G962" s="68"/>
      <c r="H962" s="68"/>
      <c r="I962" s="68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9"/>
      <c r="B963" s="67"/>
      <c r="C963" s="68"/>
      <c r="D963" s="68"/>
      <c r="E963" s="68"/>
      <c r="F963" s="68"/>
      <c r="G963" s="68"/>
      <c r="H963" s="68"/>
      <c r="I963" s="68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9"/>
      <c r="B964" s="67"/>
      <c r="C964" s="68"/>
      <c r="D964" s="68"/>
      <c r="E964" s="68"/>
      <c r="F964" s="68"/>
      <c r="G964" s="68"/>
      <c r="H964" s="68"/>
      <c r="I964" s="68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9"/>
      <c r="B965" s="67"/>
      <c r="C965" s="68"/>
      <c r="D965" s="68"/>
      <c r="E965" s="68"/>
      <c r="F965" s="68"/>
      <c r="G965" s="68"/>
      <c r="H965" s="68"/>
      <c r="I965" s="68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9"/>
      <c r="B966" s="67"/>
      <c r="C966" s="68"/>
      <c r="D966" s="68"/>
      <c r="E966" s="68"/>
      <c r="F966" s="68"/>
      <c r="G966" s="68"/>
      <c r="H966" s="68"/>
      <c r="I966" s="68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9"/>
      <c r="B967" s="67"/>
      <c r="C967" s="68"/>
      <c r="D967" s="68"/>
      <c r="E967" s="68"/>
      <c r="F967" s="68"/>
      <c r="G967" s="68"/>
      <c r="H967" s="68"/>
      <c r="I967" s="68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9"/>
      <c r="B968" s="67"/>
      <c r="C968" s="68"/>
      <c r="D968" s="68"/>
      <c r="E968" s="68"/>
      <c r="F968" s="68"/>
      <c r="G968" s="68"/>
      <c r="H968" s="68"/>
      <c r="I968" s="68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9"/>
      <c r="B969" s="67"/>
      <c r="C969" s="68"/>
      <c r="D969" s="68"/>
      <c r="E969" s="68"/>
      <c r="F969" s="68"/>
      <c r="G969" s="68"/>
      <c r="H969" s="68"/>
      <c r="I969" s="68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9"/>
      <c r="B970" s="67"/>
      <c r="C970" s="68"/>
      <c r="D970" s="68"/>
      <c r="E970" s="68"/>
      <c r="F970" s="68"/>
      <c r="G970" s="68"/>
      <c r="H970" s="68"/>
      <c r="I970" s="68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9"/>
      <c r="B971" s="67"/>
      <c r="C971" s="68"/>
      <c r="D971" s="68"/>
      <c r="E971" s="68"/>
      <c r="F971" s="68"/>
      <c r="G971" s="68"/>
      <c r="H971" s="68"/>
      <c r="I971" s="68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9"/>
      <c r="B972" s="67"/>
      <c r="C972" s="68"/>
      <c r="D972" s="68"/>
      <c r="E972" s="68"/>
      <c r="F972" s="68"/>
      <c r="G972" s="68"/>
      <c r="H972" s="68"/>
      <c r="I972" s="68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9"/>
      <c r="B973" s="67"/>
      <c r="C973" s="68"/>
      <c r="D973" s="68"/>
      <c r="E973" s="68"/>
      <c r="F973" s="68"/>
      <c r="G973" s="68"/>
      <c r="H973" s="68"/>
      <c r="I973" s="68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9"/>
      <c r="B974" s="67"/>
      <c r="C974" s="68"/>
      <c r="D974" s="68"/>
      <c r="E974" s="68"/>
      <c r="F974" s="68"/>
      <c r="G974" s="68"/>
      <c r="H974" s="68"/>
      <c r="I974" s="68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9"/>
      <c r="B975" s="67"/>
      <c r="C975" s="68"/>
      <c r="D975" s="68"/>
      <c r="E975" s="68"/>
      <c r="F975" s="68"/>
      <c r="G975" s="68"/>
      <c r="H975" s="68"/>
      <c r="I975" s="68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9"/>
      <c r="B976" s="67"/>
      <c r="C976" s="68"/>
      <c r="D976" s="68"/>
      <c r="E976" s="68"/>
      <c r="F976" s="68"/>
      <c r="G976" s="68"/>
      <c r="H976" s="68"/>
      <c r="I976" s="68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9"/>
      <c r="B977" s="67"/>
      <c r="C977" s="68"/>
      <c r="D977" s="68"/>
      <c r="E977" s="68"/>
      <c r="F977" s="68"/>
      <c r="G977" s="68"/>
      <c r="H977" s="68"/>
      <c r="I977" s="68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9"/>
      <c r="B978" s="67"/>
      <c r="C978" s="68"/>
      <c r="D978" s="68"/>
      <c r="E978" s="68"/>
      <c r="F978" s="68"/>
      <c r="G978" s="68"/>
      <c r="H978" s="68"/>
      <c r="I978" s="68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9"/>
      <c r="B979" s="67"/>
      <c r="C979" s="68"/>
      <c r="D979" s="68"/>
      <c r="E979" s="68"/>
      <c r="F979" s="68"/>
      <c r="G979" s="68"/>
      <c r="H979" s="68"/>
      <c r="I979" s="68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9"/>
      <c r="B980" s="67"/>
      <c r="C980" s="68"/>
      <c r="D980" s="68"/>
      <c r="E980" s="68"/>
      <c r="F980" s="68"/>
      <c r="G980" s="68"/>
      <c r="H980" s="68"/>
      <c r="I980" s="68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9"/>
      <c r="B981" s="67"/>
      <c r="C981" s="68"/>
      <c r="D981" s="68"/>
      <c r="E981" s="68"/>
      <c r="F981" s="68"/>
      <c r="G981" s="68"/>
      <c r="H981" s="68"/>
      <c r="I981" s="68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9"/>
      <c r="B982" s="67"/>
      <c r="C982" s="68"/>
      <c r="D982" s="68"/>
      <c r="E982" s="68"/>
      <c r="F982" s="68"/>
      <c r="G982" s="68"/>
      <c r="H982" s="68"/>
      <c r="I982" s="68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9"/>
      <c r="B983" s="67"/>
      <c r="C983" s="68"/>
      <c r="D983" s="68"/>
      <c r="E983" s="68"/>
      <c r="F983" s="68"/>
      <c r="G983" s="68"/>
      <c r="H983" s="68"/>
      <c r="I983" s="68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9"/>
      <c r="B984" s="67"/>
      <c r="C984" s="68"/>
      <c r="D984" s="68"/>
      <c r="E984" s="68"/>
      <c r="F984" s="68"/>
      <c r="G984" s="68"/>
      <c r="H984" s="68"/>
      <c r="I984" s="68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9"/>
      <c r="B985" s="67"/>
      <c r="C985" s="68"/>
      <c r="D985" s="68"/>
      <c r="E985" s="68"/>
      <c r="F985" s="68"/>
      <c r="G985" s="68"/>
      <c r="H985" s="68"/>
      <c r="I985" s="68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9"/>
      <c r="B986" s="67"/>
      <c r="C986" s="68"/>
      <c r="D986" s="68"/>
      <c r="E986" s="68"/>
      <c r="F986" s="68"/>
      <c r="G986" s="68"/>
      <c r="H986" s="68"/>
      <c r="I986" s="68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9"/>
      <c r="B987" s="67"/>
      <c r="C987" s="68"/>
      <c r="D987" s="68"/>
      <c r="E987" s="68"/>
      <c r="F987" s="68"/>
      <c r="G987" s="68"/>
      <c r="H987" s="68"/>
      <c r="I987" s="68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9"/>
      <c r="B988" s="67"/>
      <c r="C988" s="68"/>
      <c r="D988" s="68"/>
      <c r="E988" s="68"/>
      <c r="F988" s="68"/>
      <c r="G988" s="68"/>
      <c r="H988" s="68"/>
      <c r="I988" s="68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9"/>
      <c r="B989" s="67"/>
      <c r="C989" s="68"/>
      <c r="D989" s="68"/>
      <c r="E989" s="68"/>
      <c r="F989" s="68"/>
      <c r="G989" s="68"/>
      <c r="H989" s="68"/>
      <c r="I989" s="68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9"/>
      <c r="B990" s="67"/>
      <c r="C990" s="68"/>
      <c r="D990" s="68"/>
      <c r="E990" s="68"/>
      <c r="F990" s="68"/>
      <c r="G990" s="68"/>
      <c r="H990" s="68"/>
      <c r="I990" s="68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9"/>
      <c r="B991" s="67"/>
      <c r="C991" s="68"/>
      <c r="D991" s="68"/>
      <c r="E991" s="68"/>
      <c r="F991" s="68"/>
      <c r="G991" s="68"/>
      <c r="H991" s="68"/>
      <c r="I991" s="68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9"/>
      <c r="B992" s="67"/>
      <c r="C992" s="68"/>
      <c r="D992" s="68"/>
      <c r="E992" s="68"/>
      <c r="F992" s="68"/>
      <c r="G992" s="68"/>
      <c r="H992" s="68"/>
      <c r="I992" s="68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9"/>
      <c r="B993" s="67"/>
      <c r="C993" s="68"/>
      <c r="D993" s="68"/>
      <c r="E993" s="68"/>
      <c r="F993" s="68"/>
      <c r="G993" s="68"/>
      <c r="H993" s="68"/>
      <c r="I993" s="68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9"/>
      <c r="B994" s="67"/>
      <c r="C994" s="68"/>
      <c r="D994" s="68"/>
      <c r="E994" s="68"/>
      <c r="F994" s="68"/>
      <c r="G994" s="68"/>
      <c r="H994" s="68"/>
      <c r="I994" s="68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9"/>
      <c r="B995" s="67"/>
      <c r="C995" s="68"/>
      <c r="D995" s="68"/>
      <c r="E995" s="68"/>
      <c r="F995" s="68"/>
      <c r="G995" s="68"/>
      <c r="H995" s="68"/>
      <c r="I995" s="68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9"/>
      <c r="B996" s="67"/>
      <c r="C996" s="68"/>
      <c r="D996" s="68"/>
      <c r="E996" s="68"/>
      <c r="F996" s="68"/>
      <c r="G996" s="68"/>
      <c r="H996" s="68"/>
      <c r="I996" s="68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9"/>
      <c r="B997" s="67"/>
      <c r="C997" s="68"/>
      <c r="D997" s="68"/>
      <c r="E997" s="68"/>
      <c r="F997" s="68"/>
      <c r="G997" s="68"/>
      <c r="H997" s="68"/>
      <c r="I997" s="68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9"/>
      <c r="B998" s="67"/>
      <c r="C998" s="68"/>
      <c r="D998" s="68"/>
      <c r="E998" s="68"/>
      <c r="F998" s="68"/>
      <c r="G998" s="68"/>
      <c r="H998" s="68"/>
      <c r="I998" s="68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9"/>
      <c r="B999" s="67"/>
      <c r="C999" s="68"/>
      <c r="D999" s="68"/>
      <c r="E999" s="68"/>
      <c r="F999" s="68"/>
      <c r="G999" s="68"/>
      <c r="H999" s="68"/>
      <c r="I999" s="68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9"/>
      <c r="B1000" s="67"/>
      <c r="C1000" s="68"/>
      <c r="D1000" s="68"/>
      <c r="E1000" s="68"/>
      <c r="F1000" s="68"/>
      <c r="G1000" s="68"/>
      <c r="H1000" s="68"/>
      <c r="I1000" s="68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  <tableParts count="2">
    <tablePart r:id="rId4"/>
    <tablePart r:id="rId5"/>
  </tableParts>
</worksheet>
</file>